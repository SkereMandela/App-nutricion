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errr\app-nutricion\data\"/>
    </mc:Choice>
  </mc:AlternateContent>
  <xr:revisionPtr revIDLastSave="0" documentId="13_ncr:1_{0022F2CD-4C3D-42DD-9A54-C32B5CA14C3F}" xr6:coauthVersionLast="47" xr6:coauthVersionMax="47" xr10:uidLastSave="{00000000-0000-0000-0000-000000000000}"/>
  <bookViews>
    <workbookView xWindow="-108" yWindow="-108" windowWidth="23256" windowHeight="12456" tabRatio="828" xr2:uid="{D60A0C13-4394-5149-97F4-C65F129DEB9D}"/>
  </bookViews>
  <sheets>
    <sheet name="Hoja1" sheetId="1" r:id="rId1"/>
    <sheet name="FoodDiary_260427_foods" sheetId="18" r:id="rId2"/>
    <sheet name="fatsecret 260502" sheetId="19" r:id="rId3"/>
    <sheet name="fatsecret 260501" sheetId="20" r:id="rId4"/>
    <sheet name="fatsecret 260430" sheetId="21" r:id="rId5"/>
    <sheet name="fatsecret 260429" sheetId="22" r:id="rId6"/>
    <sheet name="fatsecret 260428" sheetId="23" r:id="rId7"/>
  </sheets>
  <definedNames>
    <definedName name="_xlnm._FilterDatabase" localSheetId="6" hidden="1">'fatsecret 260428'!$A$5:$N$46</definedName>
    <definedName name="_xlnm._FilterDatabase" localSheetId="5" hidden="1">'fatsecret 260429'!$A$5:$N$56</definedName>
    <definedName name="_xlnm._FilterDatabase" localSheetId="4" hidden="1">'fatsecret 260430'!$A$5:$N$54</definedName>
    <definedName name="_xlnm._FilterDatabase" localSheetId="3" hidden="1">'fatsecret 260501'!$A$5:$N$42</definedName>
    <definedName name="_xlnm._FilterDatabase" localSheetId="2" hidden="1">'fatsecret 260502'!$A$5:$N$42</definedName>
    <definedName name="_xlnm._FilterDatabase" localSheetId="1" hidden="1">FoodDiary_260427_foods!$A$5:$N$64</definedName>
    <definedName name="_xlnm._FilterDatabase" localSheetId="0" hidden="1">Hoja1!$A$1:$AA$82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46" i="23" l="1"/>
  <c r="N45" i="23"/>
  <c r="N44" i="23"/>
  <c r="N43" i="23"/>
  <c r="N42" i="23"/>
  <c r="N41" i="23"/>
  <c r="N40" i="23"/>
  <c r="N39" i="23"/>
  <c r="N38" i="23"/>
  <c r="N37" i="23"/>
  <c r="N36" i="23"/>
  <c r="N35" i="23"/>
  <c r="N34" i="23"/>
  <c r="N33" i="23"/>
  <c r="N32" i="23"/>
  <c r="N31" i="23"/>
  <c r="N30" i="23"/>
  <c r="N29" i="23"/>
  <c r="N28" i="23"/>
  <c r="N27" i="23"/>
  <c r="N26" i="23"/>
  <c r="N25" i="23"/>
  <c r="N24" i="23"/>
  <c r="N23" i="23"/>
  <c r="N22" i="23"/>
  <c r="N21" i="23"/>
  <c r="N20" i="23"/>
  <c r="N19" i="23"/>
  <c r="N18" i="23"/>
  <c r="N17" i="23"/>
  <c r="N16" i="23"/>
  <c r="N15" i="23"/>
  <c r="N14" i="23"/>
  <c r="N13" i="23"/>
  <c r="N12" i="23"/>
  <c r="N11" i="23"/>
  <c r="N10" i="23"/>
  <c r="M46" i="23"/>
  <c r="M45" i="23"/>
  <c r="M44" i="23"/>
  <c r="M43" i="23"/>
  <c r="M42" i="23"/>
  <c r="M41" i="23"/>
  <c r="M40" i="23"/>
  <c r="M39" i="23"/>
  <c r="M38" i="23"/>
  <c r="M37" i="23"/>
  <c r="M36" i="23"/>
  <c r="M35" i="23"/>
  <c r="M34" i="23"/>
  <c r="M33" i="23"/>
  <c r="M32" i="23"/>
  <c r="M31" i="23"/>
  <c r="M30" i="23"/>
  <c r="M29" i="23"/>
  <c r="M28" i="23"/>
  <c r="M27" i="23"/>
  <c r="M26" i="23"/>
  <c r="M25" i="23"/>
  <c r="M24" i="23"/>
  <c r="M23" i="23"/>
  <c r="M22" i="23"/>
  <c r="M21" i="23"/>
  <c r="M20" i="23"/>
  <c r="M19" i="23"/>
  <c r="M18" i="23"/>
  <c r="M17" i="23"/>
  <c r="M16" i="23"/>
  <c r="M15" i="23"/>
  <c r="M14" i="23"/>
  <c r="M13" i="23"/>
  <c r="M12" i="23"/>
  <c r="M11" i="23"/>
  <c r="M10" i="23"/>
  <c r="B9" i="23"/>
  <c r="C9" i="23" s="1"/>
  <c r="N56" i="22"/>
  <c r="N55" i="22"/>
  <c r="N54" i="22"/>
  <c r="N53" i="22"/>
  <c r="N52" i="22"/>
  <c r="N51" i="22"/>
  <c r="N50" i="22"/>
  <c r="N49" i="22"/>
  <c r="N48" i="22"/>
  <c r="N47" i="22"/>
  <c r="N46" i="22"/>
  <c r="N45" i="22"/>
  <c r="N44" i="22"/>
  <c r="N43" i="22"/>
  <c r="N42" i="22"/>
  <c r="N41" i="22"/>
  <c r="N40" i="22"/>
  <c r="N39" i="22"/>
  <c r="N38" i="22"/>
  <c r="N37" i="22"/>
  <c r="N36" i="22"/>
  <c r="N35" i="22"/>
  <c r="N34" i="22"/>
  <c r="N33" i="22"/>
  <c r="N32" i="22"/>
  <c r="N31" i="22"/>
  <c r="N30" i="22"/>
  <c r="N29" i="22"/>
  <c r="N28" i="22"/>
  <c r="N27" i="22"/>
  <c r="N26" i="22"/>
  <c r="N25" i="22"/>
  <c r="N24" i="22"/>
  <c r="N23" i="22"/>
  <c r="N22" i="22"/>
  <c r="N21" i="22"/>
  <c r="N20" i="22"/>
  <c r="N19" i="22"/>
  <c r="N18" i="22"/>
  <c r="N17" i="22"/>
  <c r="N16" i="22"/>
  <c r="N15" i="22"/>
  <c r="N14" i="22"/>
  <c r="N13" i="22"/>
  <c r="N12" i="22"/>
  <c r="N11" i="22"/>
  <c r="N10" i="22"/>
  <c r="M56" i="22"/>
  <c r="M55" i="22"/>
  <c r="M54" i="22"/>
  <c r="M53" i="22"/>
  <c r="M52" i="22"/>
  <c r="M51" i="22"/>
  <c r="M50" i="22"/>
  <c r="M49" i="22"/>
  <c r="M48" i="22"/>
  <c r="M47" i="22"/>
  <c r="M46" i="22"/>
  <c r="M45" i="22"/>
  <c r="M44" i="22"/>
  <c r="M43" i="22"/>
  <c r="M42" i="22"/>
  <c r="M41" i="22"/>
  <c r="M40" i="22"/>
  <c r="M39" i="22"/>
  <c r="M38" i="22"/>
  <c r="M37" i="22"/>
  <c r="M36" i="22"/>
  <c r="M35" i="22"/>
  <c r="M34" i="22"/>
  <c r="M33" i="22"/>
  <c r="M32" i="22"/>
  <c r="M31" i="22"/>
  <c r="M30" i="22"/>
  <c r="M29" i="22"/>
  <c r="M28" i="22"/>
  <c r="M27" i="22"/>
  <c r="M26" i="22"/>
  <c r="M25" i="22"/>
  <c r="M24" i="22"/>
  <c r="M23" i="22"/>
  <c r="M22" i="22"/>
  <c r="M21" i="22"/>
  <c r="M20" i="22"/>
  <c r="M19" i="22"/>
  <c r="M18" i="22"/>
  <c r="M17" i="22"/>
  <c r="M16" i="22"/>
  <c r="M15" i="22"/>
  <c r="M14" i="22"/>
  <c r="M13" i="22"/>
  <c r="M12" i="22"/>
  <c r="M11" i="22"/>
  <c r="M10" i="22"/>
  <c r="B9" i="22"/>
  <c r="C9" i="22" s="1"/>
  <c r="N54" i="21"/>
  <c r="N53" i="21"/>
  <c r="N52" i="21"/>
  <c r="N51" i="21"/>
  <c r="N50" i="21"/>
  <c r="N49" i="21"/>
  <c r="N48" i="21"/>
  <c r="N47" i="21"/>
  <c r="N46" i="21"/>
  <c r="N45" i="21"/>
  <c r="N44" i="21"/>
  <c r="N43" i="21"/>
  <c r="N42" i="21"/>
  <c r="N41" i="21"/>
  <c r="N40" i="21"/>
  <c r="N39" i="21"/>
  <c r="N38" i="21"/>
  <c r="N37" i="21"/>
  <c r="N36" i="21"/>
  <c r="N35" i="21"/>
  <c r="N34" i="21"/>
  <c r="N33" i="21"/>
  <c r="N32" i="21"/>
  <c r="N31" i="21"/>
  <c r="N30" i="21"/>
  <c r="N29" i="21"/>
  <c r="N28" i="21"/>
  <c r="N27" i="21"/>
  <c r="N26" i="21"/>
  <c r="N25" i="21"/>
  <c r="N24" i="21"/>
  <c r="N23" i="21"/>
  <c r="N22" i="21"/>
  <c r="N21" i="21"/>
  <c r="N20" i="21"/>
  <c r="N19" i="21"/>
  <c r="N18" i="21"/>
  <c r="N17" i="21"/>
  <c r="N16" i="21"/>
  <c r="N15" i="21"/>
  <c r="N14" i="21"/>
  <c r="N13" i="21"/>
  <c r="N12" i="21"/>
  <c r="N11" i="21"/>
  <c r="N10" i="21"/>
  <c r="M54" i="21"/>
  <c r="M53" i="21"/>
  <c r="M52" i="21"/>
  <c r="M51" i="21"/>
  <c r="M50" i="21"/>
  <c r="M49" i="21"/>
  <c r="M48" i="21"/>
  <c r="M47" i="21"/>
  <c r="M46" i="21"/>
  <c r="M45" i="21"/>
  <c r="M44" i="21"/>
  <c r="M43" i="21"/>
  <c r="M42" i="21"/>
  <c r="M41" i="21"/>
  <c r="M40" i="21"/>
  <c r="M39" i="21"/>
  <c r="M38" i="21"/>
  <c r="M37" i="21"/>
  <c r="M36" i="21"/>
  <c r="M35" i="21"/>
  <c r="M34" i="21"/>
  <c r="M33" i="21"/>
  <c r="M32" i="21"/>
  <c r="M31" i="21"/>
  <c r="M30" i="21"/>
  <c r="M29" i="21"/>
  <c r="M28" i="21"/>
  <c r="M27" i="21"/>
  <c r="M26" i="21"/>
  <c r="M25" i="21"/>
  <c r="M24" i="21"/>
  <c r="M23" i="21"/>
  <c r="M22" i="21"/>
  <c r="M21" i="21"/>
  <c r="M20" i="21"/>
  <c r="M19" i="21"/>
  <c r="M18" i="21"/>
  <c r="M17" i="21"/>
  <c r="M16" i="21"/>
  <c r="M15" i="21"/>
  <c r="M14" i="21"/>
  <c r="M13" i="21"/>
  <c r="M12" i="21"/>
  <c r="M11" i="21"/>
  <c r="M10" i="21"/>
  <c r="B9" i="21"/>
  <c r="C9" i="21" s="1"/>
  <c r="N42" i="20"/>
  <c r="N41" i="20"/>
  <c r="N40" i="20"/>
  <c r="N39" i="20"/>
  <c r="N38" i="20"/>
  <c r="N37" i="20"/>
  <c r="N36" i="20"/>
  <c r="N35" i="20"/>
  <c r="N34" i="20"/>
  <c r="N33" i="20"/>
  <c r="N32" i="20"/>
  <c r="N31" i="20"/>
  <c r="N30" i="20"/>
  <c r="N29" i="20"/>
  <c r="N28" i="20"/>
  <c r="N27" i="20"/>
  <c r="N26" i="20"/>
  <c r="N25" i="20"/>
  <c r="N24" i="20"/>
  <c r="N23" i="20"/>
  <c r="N22" i="20"/>
  <c r="N21" i="20"/>
  <c r="N20" i="20"/>
  <c r="N19" i="20"/>
  <c r="N18" i="20"/>
  <c r="N17" i="20"/>
  <c r="N16" i="20"/>
  <c r="N15" i="20"/>
  <c r="N14" i="20"/>
  <c r="N13" i="20"/>
  <c r="N12" i="20"/>
  <c r="N11" i="20"/>
  <c r="N10" i="20"/>
  <c r="M42" i="20"/>
  <c r="M41" i="20"/>
  <c r="M40" i="20"/>
  <c r="M39" i="20"/>
  <c r="M38" i="20"/>
  <c r="M37" i="20"/>
  <c r="M36" i="20"/>
  <c r="M35" i="20"/>
  <c r="M34" i="20"/>
  <c r="M33" i="20"/>
  <c r="M32" i="20"/>
  <c r="M31" i="20"/>
  <c r="M30" i="20"/>
  <c r="M29" i="20"/>
  <c r="M28" i="20"/>
  <c r="M27" i="20"/>
  <c r="M26" i="20"/>
  <c r="M25" i="20"/>
  <c r="M24" i="20"/>
  <c r="M23" i="20"/>
  <c r="M22" i="20"/>
  <c r="M21" i="20"/>
  <c r="M20" i="20"/>
  <c r="M19" i="20"/>
  <c r="M18" i="20"/>
  <c r="M17" i="20"/>
  <c r="M16" i="20"/>
  <c r="M15" i="20"/>
  <c r="M14" i="20"/>
  <c r="M13" i="20"/>
  <c r="M12" i="20"/>
  <c r="M11" i="20"/>
  <c r="M10" i="20"/>
  <c r="B9" i="20"/>
  <c r="C9" i="20" s="1"/>
  <c r="N42" i="19"/>
  <c r="N41" i="19"/>
  <c r="N40" i="19"/>
  <c r="N39" i="19"/>
  <c r="N38" i="19"/>
  <c r="N37" i="19"/>
  <c r="N36" i="19"/>
  <c r="N35" i="19"/>
  <c r="N34" i="19"/>
  <c r="N33" i="19"/>
  <c r="N32" i="19"/>
  <c r="N31" i="19"/>
  <c r="N30" i="19"/>
  <c r="N29" i="19"/>
  <c r="N28" i="19"/>
  <c r="N27" i="19"/>
  <c r="N26" i="19"/>
  <c r="N25" i="19"/>
  <c r="N24" i="19"/>
  <c r="N23" i="19"/>
  <c r="N22" i="19"/>
  <c r="N21" i="19"/>
  <c r="N20" i="19"/>
  <c r="N19" i="19"/>
  <c r="N18" i="19"/>
  <c r="N17" i="19"/>
  <c r="N16" i="19"/>
  <c r="N15" i="19"/>
  <c r="N14" i="19"/>
  <c r="N13" i="19"/>
  <c r="N12" i="19"/>
  <c r="N11" i="19"/>
  <c r="N10" i="19"/>
  <c r="M42" i="19"/>
  <c r="M41" i="19"/>
  <c r="M40" i="19"/>
  <c r="M39" i="19"/>
  <c r="M38" i="19"/>
  <c r="M37" i="19"/>
  <c r="M36" i="19"/>
  <c r="M35" i="19"/>
  <c r="M34" i="19"/>
  <c r="M33" i="19"/>
  <c r="M32" i="19"/>
  <c r="M31" i="19"/>
  <c r="M30" i="19"/>
  <c r="M29" i="19"/>
  <c r="M28" i="19"/>
  <c r="M27" i="19"/>
  <c r="M26" i="19"/>
  <c r="M25" i="19"/>
  <c r="M24" i="19"/>
  <c r="M23" i="19"/>
  <c r="M22" i="19"/>
  <c r="M21" i="19"/>
  <c r="M20" i="19"/>
  <c r="M19" i="19"/>
  <c r="M18" i="19"/>
  <c r="M17" i="19"/>
  <c r="M16" i="19"/>
  <c r="M15" i="19"/>
  <c r="M14" i="19"/>
  <c r="M13" i="19"/>
  <c r="M12" i="19"/>
  <c r="M11" i="19"/>
  <c r="M10" i="19"/>
  <c r="B9" i="19"/>
  <c r="C9" i="19" s="1"/>
  <c r="N64" i="18"/>
  <c r="N63" i="18"/>
  <c r="N62" i="18"/>
  <c r="N61" i="18"/>
  <c r="N60" i="18"/>
  <c r="N59" i="18"/>
  <c r="N58" i="18"/>
  <c r="N57" i="18"/>
  <c r="N56" i="18"/>
  <c r="N55" i="18"/>
  <c r="N54" i="18"/>
  <c r="N53" i="18"/>
  <c r="N52" i="18"/>
  <c r="N51" i="18"/>
  <c r="N50" i="18"/>
  <c r="N49" i="18"/>
  <c r="N48" i="18"/>
  <c r="N47" i="18"/>
  <c r="N46" i="18"/>
  <c r="N45" i="18"/>
  <c r="N44" i="18"/>
  <c r="N43" i="18"/>
  <c r="N42" i="18"/>
  <c r="N41" i="18"/>
  <c r="N40" i="18"/>
  <c r="N39" i="18"/>
  <c r="N38" i="18"/>
  <c r="N37" i="18"/>
  <c r="N36" i="18"/>
  <c r="N35" i="18"/>
  <c r="N34" i="18"/>
  <c r="N33" i="18"/>
  <c r="N32" i="18"/>
  <c r="N31" i="18"/>
  <c r="N30" i="18"/>
  <c r="N29" i="18"/>
  <c r="N28" i="18"/>
  <c r="N27" i="18"/>
  <c r="N26" i="18"/>
  <c r="N25" i="18"/>
  <c r="N24" i="18"/>
  <c r="N23" i="18"/>
  <c r="N22" i="18"/>
  <c r="N21" i="18"/>
  <c r="N20" i="18"/>
  <c r="N19" i="18"/>
  <c r="N18" i="18"/>
  <c r="N17" i="18"/>
  <c r="N16" i="18"/>
  <c r="N15" i="18"/>
  <c r="N14" i="18"/>
  <c r="N13" i="18"/>
  <c r="N12" i="18"/>
  <c r="N11" i="18"/>
  <c r="N10" i="18"/>
  <c r="M64" i="18"/>
  <c r="M63" i="18"/>
  <c r="M62" i="18"/>
  <c r="M61" i="18"/>
  <c r="M60" i="18"/>
  <c r="M59" i="18"/>
  <c r="M58" i="18"/>
  <c r="M57" i="18"/>
  <c r="M56" i="18"/>
  <c r="M55" i="18"/>
  <c r="M54" i="18"/>
  <c r="M53" i="18"/>
  <c r="M52" i="18"/>
  <c r="M51" i="18"/>
  <c r="M50" i="18"/>
  <c r="M49" i="18"/>
  <c r="M48" i="18"/>
  <c r="M47" i="18"/>
  <c r="M46" i="18"/>
  <c r="M45" i="18"/>
  <c r="M44" i="18"/>
  <c r="M43" i="18"/>
  <c r="M42" i="18"/>
  <c r="M41" i="18"/>
  <c r="M40" i="18"/>
  <c r="M39" i="18"/>
  <c r="M38" i="18"/>
  <c r="M37" i="18"/>
  <c r="M36" i="18"/>
  <c r="M35" i="18"/>
  <c r="M34" i="18"/>
  <c r="M33" i="18"/>
  <c r="M32" i="18"/>
  <c r="M31" i="18"/>
  <c r="M30" i="18"/>
  <c r="M29" i="18"/>
  <c r="M28" i="18"/>
  <c r="M27" i="18"/>
  <c r="M26" i="18"/>
  <c r="M25" i="18"/>
  <c r="M24" i="18"/>
  <c r="M23" i="18"/>
  <c r="M22" i="18"/>
  <c r="M21" i="18"/>
  <c r="M20" i="18"/>
  <c r="M19" i="18"/>
  <c r="M18" i="18"/>
  <c r="M17" i="18"/>
  <c r="M16" i="18"/>
  <c r="M15" i="18"/>
  <c r="M14" i="18"/>
  <c r="M13" i="18"/>
  <c r="M12" i="18"/>
  <c r="M11" i="18"/>
  <c r="M10" i="18"/>
  <c r="B9" i="18"/>
  <c r="C9" i="18" s="1"/>
</calcChain>
</file>

<file path=xl/sharedStrings.xml><?xml version="1.0" encoding="utf-8"?>
<sst xmlns="http://schemas.openxmlformats.org/spreadsheetml/2006/main" count="1450" uniqueCount="459">
  <si>
    <t>Fecha</t>
  </si>
  <si>
    <t>Cals ( kcal)</t>
  </si>
  <si>
    <t>Grasa( g)</t>
  </si>
  <si>
    <t>Sat( g)</t>
  </si>
  <si>
    <t>Carbh( g)</t>
  </si>
  <si>
    <t>Fibra( g)</t>
  </si>
  <si>
    <t>Prot( g)</t>
  </si>
  <si>
    <t>Sod( mg)</t>
  </si>
  <si>
    <t>Coles( mg)</t>
  </si>
  <si>
    <t>Potasio( mg)</t>
  </si>
  <si>
    <t>Cantidad</t>
  </si>
  <si>
    <t>Item</t>
  </si>
  <si>
    <t>Azúcar( g)</t>
  </si>
  <si>
    <t>#-------------------------------------------</t>
  </si>
  <si>
    <t># Food Diary Report - Detailed Report</t>
  </si>
  <si>
    <t>viernes, marzo 27, 2026</t>
  </si>
  <si>
    <t># Report Details</t>
  </si>
  <si>
    <t>Az&amp;#250;car( g)</t>
  </si>
  <si>
    <t>martes, abril 28, 2026</t>
  </si>
  <si>
    <t>31,44</t>
  </si>
  <si>
    <t>138,62</t>
  </si>
  <si>
    <t>25,2</t>
  </si>
  <si>
    <t>54,61</t>
  </si>
  <si>
    <t>81,25</t>
  </si>
  <si>
    <t>2043,77</t>
  </si>
  <si>
    <t xml:space="preserve"> Desayuno</t>
  </si>
  <si>
    <t>13,01</t>
  </si>
  <si>
    <t>46,93</t>
  </si>
  <si>
    <t>10,3</t>
  </si>
  <si>
    <t>6,67</t>
  </si>
  <si>
    <t>37,16</t>
  </si>
  <si>
    <t xml:space="preserve">  Falcon Proteína Vegetal Chocolate</t>
  </si>
  <si>
    <t>0,3</t>
  </si>
  <si>
    <t xml:space="preserve">   1 porción, 30 g</t>
  </si>
  <si>
    <t xml:space="preserve">  Bolillo</t>
  </si>
  <si>
    <t>0,58</t>
  </si>
  <si>
    <t>0,13</t>
  </si>
  <si>
    <t>6,78</t>
  </si>
  <si>
    <t>0,4</t>
  </si>
  <si>
    <t>0,04</t>
  </si>
  <si>
    <t>1,16</t>
  </si>
  <si>
    <t xml:space="preserve">   0.3 un/una mediano</t>
  </si>
  <si>
    <t xml:space="preserve">  Plátano</t>
  </si>
  <si>
    <t>0,12</t>
  </si>
  <si>
    <t>8,09</t>
  </si>
  <si>
    <t>0,9</t>
  </si>
  <si>
    <t>4,33</t>
  </si>
  <si>
    <t>0,39</t>
  </si>
  <si>
    <t xml:space="preserve">   0.3 un/una mediano (18 cm - 20 cm de largo)</t>
  </si>
  <si>
    <t xml:space="preserve">  Bionda Requesón</t>
  </si>
  <si>
    <t>4,8</t>
  </si>
  <si>
    <t>3,4</t>
  </si>
  <si>
    <t>6,6</t>
  </si>
  <si>
    <t xml:space="preserve">   2 x 1 porción, 60 g</t>
  </si>
  <si>
    <t xml:space="preserve">  Frijoles Cocidos</t>
  </si>
  <si>
    <t>6,51</t>
  </si>
  <si>
    <t>27,06</t>
  </si>
  <si>
    <t>7,01</t>
  </si>
  <si>
    <t xml:space="preserve">   1/2 un/una taza</t>
  </si>
  <si>
    <t xml:space="preserve"> Almuerzo</t>
  </si>
  <si>
    <t>5,55</t>
  </si>
  <si>
    <t>30,41</t>
  </si>
  <si>
    <t>21,58</t>
  </si>
  <si>
    <t>29,65</t>
  </si>
  <si>
    <t>749,77</t>
  </si>
  <si>
    <t xml:space="preserve">  Yoghurt Natural sin Azúcar</t>
  </si>
  <si>
    <t>1,9</t>
  </si>
  <si>
    <t>1,2</t>
  </si>
  <si>
    <t>4,4</t>
  </si>
  <si>
    <t>2,95</t>
  </si>
  <si>
    <t xml:space="preserve">   1/2 x 1/2 taza, 62.5 g</t>
  </si>
  <si>
    <t xml:space="preserve">  Pechuga de Pollo a la Plancha</t>
  </si>
  <si>
    <t>1,75</t>
  </si>
  <si>
    <t>0,484</t>
  </si>
  <si>
    <t>22,39</t>
  </si>
  <si>
    <t xml:space="preserve">   100 g</t>
  </si>
  <si>
    <t xml:space="preserve">  Crutones Sabor Italiano</t>
  </si>
  <si>
    <t>1,19</t>
  </si>
  <si>
    <t>0,1</t>
  </si>
  <si>
    <t>4,35</t>
  </si>
  <si>
    <t>0,35</t>
  </si>
  <si>
    <t>0,68</t>
  </si>
  <si>
    <t xml:space="preserve">   20 piezas, 7 g</t>
  </si>
  <si>
    <t xml:space="preserve">  Chipotles Molidos</t>
  </si>
  <si>
    <t>0,6</t>
  </si>
  <si>
    <t xml:space="preserve">   1 cucharada, 30 g</t>
  </si>
  <si>
    <t xml:space="preserve">  Ensalada de Lechuga con Verduras Variadas (Incluidos los Tomates y/o Zanahorias)</t>
  </si>
  <si>
    <t>0,25</t>
  </si>
  <si>
    <t>0,045</t>
  </si>
  <si>
    <t>3,33</t>
  </si>
  <si>
    <t>1,27</t>
  </si>
  <si>
    <t xml:space="preserve">   2 tazas</t>
  </si>
  <si>
    <t xml:space="preserve">  Manzana</t>
  </si>
  <si>
    <t>0,06</t>
  </si>
  <si>
    <t>0,01</t>
  </si>
  <si>
    <t>4,76</t>
  </si>
  <si>
    <t>0,8</t>
  </si>
  <si>
    <t>3,58</t>
  </si>
  <si>
    <t>0,09</t>
  </si>
  <si>
    <t xml:space="preserve">   1/4 un/una mediana (7 cm de diámetro) (aprox. 3 por 450 g)</t>
  </si>
  <si>
    <t xml:space="preserve">  Pronto Gelatina</t>
  </si>
  <si>
    <t>8,35</t>
  </si>
  <si>
    <t>7,92</t>
  </si>
  <si>
    <t>1,87</t>
  </si>
  <si>
    <t>92,77</t>
  </si>
  <si>
    <t xml:space="preserve">   1 porción, 130 g</t>
  </si>
  <si>
    <t xml:space="preserve"> Cena</t>
  </si>
  <si>
    <t>12,88</t>
  </si>
  <si>
    <t>61,28</t>
  </si>
  <si>
    <t>11,5</t>
  </si>
  <si>
    <t>26,36</t>
  </si>
  <si>
    <t>14,44</t>
  </si>
  <si>
    <t xml:space="preserve">  Cinepolis Palomitas (Grande)</t>
  </si>
  <si>
    <t>8,4</t>
  </si>
  <si>
    <t>3,2</t>
  </si>
  <si>
    <t xml:space="preserve">   0.2 x 1 porción, 31 g</t>
  </si>
  <si>
    <t xml:space="preserve">  Fresas</t>
  </si>
  <si>
    <t>0,08</t>
  </si>
  <si>
    <t>0,004</t>
  </si>
  <si>
    <t>2,15</t>
  </si>
  <si>
    <t>1,3</t>
  </si>
  <si>
    <t>0,19</t>
  </si>
  <si>
    <t xml:space="preserve">   4 pequeñas (2,5 cm de diámetro)</t>
  </si>
  <si>
    <t xml:space="preserve">  Yoplait Yoghurt Estilo Griego</t>
  </si>
  <si>
    <t>2,6</t>
  </si>
  <si>
    <t>1,6</t>
  </si>
  <si>
    <t>17,4</t>
  </si>
  <si>
    <t>16,8</t>
  </si>
  <si>
    <t>10,2</t>
  </si>
  <si>
    <t xml:space="preserve">   1 vasito, 145 g</t>
  </si>
  <si>
    <t xml:space="preserve">  Papayas</t>
  </si>
  <si>
    <t>0,2</t>
  </si>
  <si>
    <t>13,73</t>
  </si>
  <si>
    <t>2,5</t>
  </si>
  <si>
    <t>8,26</t>
  </si>
  <si>
    <t>0,85</t>
  </si>
  <si>
    <t xml:space="preserve">   1 taza, cubitos</t>
  </si>
  <si>
    <t xml:space="preserve"> Pasa Bocas / Otros</t>
  </si>
  <si>
    <t>miércoles, abril 29, 2026</t>
  </si>
  <si>
    <t>51,74</t>
  </si>
  <si>
    <t>123,59</t>
  </si>
  <si>
    <t>17,8</t>
  </si>
  <si>
    <t>73,96</t>
  </si>
  <si>
    <t>116,06</t>
  </si>
  <si>
    <t>36,64</t>
  </si>
  <si>
    <t>42,98</t>
  </si>
  <si>
    <t>6,4</t>
  </si>
  <si>
    <t>22,88</t>
  </si>
  <si>
    <t>73,51</t>
  </si>
  <si>
    <t xml:space="preserve">  Leche (Leche Entera)</t>
  </si>
  <si>
    <t>1,98</t>
  </si>
  <si>
    <t>2,76</t>
  </si>
  <si>
    <t>3,21</t>
  </si>
  <si>
    <t>1,96</t>
  </si>
  <si>
    <t xml:space="preserve">   1/4 un/una taza</t>
  </si>
  <si>
    <t xml:space="preserve">  Café</t>
  </si>
  <si>
    <t>0,05</t>
  </si>
  <si>
    <t>0,005</t>
  </si>
  <si>
    <t>0,28</t>
  </si>
  <si>
    <t xml:space="preserve">   1 taza (240 ml)</t>
  </si>
  <si>
    <t xml:space="preserve">  Azúcar</t>
  </si>
  <si>
    <t>8,39</t>
  </si>
  <si>
    <t xml:space="preserve">   2 cucharaditas</t>
  </si>
  <si>
    <t xml:space="preserve">  Tortillas de Maíz</t>
  </si>
  <si>
    <t>0,109</t>
  </si>
  <si>
    <t>10,71</t>
  </si>
  <si>
    <t>1,5</t>
  </si>
  <si>
    <t>0,21</t>
  </si>
  <si>
    <t>1,37</t>
  </si>
  <si>
    <t xml:space="preserve">   1 tortilla</t>
  </si>
  <si>
    <t xml:space="preserve">  Huevo Revuelto</t>
  </si>
  <si>
    <t>22,81</t>
  </si>
  <si>
    <t>2,93</t>
  </si>
  <si>
    <t>2,14</t>
  </si>
  <si>
    <t>19,51</t>
  </si>
  <si>
    <t xml:space="preserve">   3 huevos</t>
  </si>
  <si>
    <t>6,3</t>
  </si>
  <si>
    <t>5,75</t>
  </si>
  <si>
    <t>47,29</t>
  </si>
  <si>
    <t>5,9</t>
  </si>
  <si>
    <t>33,42</t>
  </si>
  <si>
    <t>31,13</t>
  </si>
  <si>
    <t xml:space="preserve">  D'Gari Gelatina de Agua</t>
  </si>
  <si>
    <t xml:space="preserve">   	1 porción, 130 g</t>
  </si>
  <si>
    <t>9,35</t>
  </si>
  <si>
    <t>4,87</t>
  </si>
  <si>
    <t>33,32</t>
  </si>
  <si>
    <t>5,5</t>
  </si>
  <si>
    <t>17,66</t>
  </si>
  <si>
    <t>11,42</t>
  </si>
  <si>
    <t xml:space="preserve">  Hojuelas de Avena Natural (30g)</t>
  </si>
  <si>
    <t>12,1</t>
  </si>
  <si>
    <t>2,8</t>
  </si>
  <si>
    <t>2,7</t>
  </si>
  <si>
    <t xml:space="preserve">   1/2 taza, 30 g</t>
  </si>
  <si>
    <t xml:space="preserve">  Fresas Congeladas</t>
  </si>
  <si>
    <t>9,1</t>
  </si>
  <si>
    <t>4,6</t>
  </si>
  <si>
    <t xml:space="preserve">  Espinacas</t>
  </si>
  <si>
    <t>0,019</t>
  </si>
  <si>
    <t>1,09</t>
  </si>
  <si>
    <t>0,7</t>
  </si>
  <si>
    <t>0,86</t>
  </si>
  <si>
    <t xml:space="preserve">   1 taza</t>
  </si>
  <si>
    <t xml:space="preserve">  Leche Entera</t>
  </si>
  <si>
    <t>7,93</t>
  </si>
  <si>
    <t>11,03</t>
  </si>
  <si>
    <t>12,83</t>
  </si>
  <si>
    <t>7,86</t>
  </si>
  <si>
    <t>jueves, abril 30, 2026</t>
  </si>
  <si>
    <t>73,24</t>
  </si>
  <si>
    <t>123,37</t>
  </si>
  <si>
    <t>14,8</t>
  </si>
  <si>
    <t>61,78</t>
  </si>
  <si>
    <t>112,63</t>
  </si>
  <si>
    <t>1966,39</t>
  </si>
  <si>
    <t>37,01</t>
  </si>
  <si>
    <t>27,23</t>
  </si>
  <si>
    <t>9,48</t>
  </si>
  <si>
    <t>57,32</t>
  </si>
  <si>
    <t>2,4</t>
  </si>
  <si>
    <t>1,7</t>
  </si>
  <si>
    <t>3,3</t>
  </si>
  <si>
    <t xml:space="preserve">  Alpura Queso Oaxaca</t>
  </si>
  <si>
    <t>10,75</t>
  </si>
  <si>
    <t xml:space="preserve">   50 g</t>
  </si>
  <si>
    <t>22,06</t>
  </si>
  <si>
    <t>13,66</t>
  </si>
  <si>
    <t>27,78</t>
  </si>
  <si>
    <t>22,35</t>
  </si>
  <si>
    <t>11,07</t>
  </si>
  <si>
    <t>22,42</t>
  </si>
  <si>
    <t>122,39</t>
  </si>
  <si>
    <t xml:space="preserve">  Caperucita Queso Manchego</t>
  </si>
  <si>
    <t>6,2</t>
  </si>
  <si>
    <t xml:space="preserve">   1 porción, 50 g</t>
  </si>
  <si>
    <t>8,33</t>
  </si>
  <si>
    <t>40,76</t>
  </si>
  <si>
    <t>20,98</t>
  </si>
  <si>
    <t>5,11</t>
  </si>
  <si>
    <t xml:space="preserve">  Chicharrones de Harina</t>
  </si>
  <si>
    <t>8,1</t>
  </si>
  <si>
    <t>17,78</t>
  </si>
  <si>
    <t>1,68</t>
  </si>
  <si>
    <t xml:space="preserve">   30 g</t>
  </si>
  <si>
    <t xml:space="preserve">  Sandía</t>
  </si>
  <si>
    <t>0,23</t>
  </si>
  <si>
    <t>0,024</t>
  </si>
  <si>
    <t>11,48</t>
  </si>
  <si>
    <t>9,42</t>
  </si>
  <si>
    <t>0,93</t>
  </si>
  <si>
    <t>viernes, mayo 1, 2026</t>
  </si>
  <si>
    <t>70,94</t>
  </si>
  <si>
    <t>98,51</t>
  </si>
  <si>
    <t>21,9</t>
  </si>
  <si>
    <t>12,75</t>
  </si>
  <si>
    <t>105,1</t>
  </si>
  <si>
    <t>1320,39</t>
  </si>
  <si>
    <t>46,72</t>
  </si>
  <si>
    <t>30,4</t>
  </si>
  <si>
    <t>10,4</t>
  </si>
  <si>
    <t>5,99</t>
  </si>
  <si>
    <t>54,43</t>
  </si>
  <si>
    <t>673,39</t>
  </si>
  <si>
    <t xml:space="preserve">  Nopales</t>
  </si>
  <si>
    <t>0,008</t>
  </si>
  <si>
    <t>1,66</t>
  </si>
  <si>
    <t>1,1</t>
  </si>
  <si>
    <t>0,66</t>
  </si>
  <si>
    <t xml:space="preserve">  Guacamole</t>
  </si>
  <si>
    <t>6,25</t>
  </si>
  <si>
    <t>0,907</t>
  </si>
  <si>
    <t>3,72</t>
  </si>
  <si>
    <t>2,9</t>
  </si>
  <si>
    <t>0,31</t>
  </si>
  <si>
    <t xml:space="preserve">   3 cucharadas</t>
  </si>
  <si>
    <t xml:space="preserve">  Aguacate</t>
  </si>
  <si>
    <t>0,425</t>
  </si>
  <si>
    <t>1,71</t>
  </si>
  <si>
    <t xml:space="preserve">   2 tajadas</t>
  </si>
  <si>
    <t xml:space="preserve">  Carnitas</t>
  </si>
  <si>
    <t>22,7</t>
  </si>
  <si>
    <t>1,51</t>
  </si>
  <si>
    <t>17,75</t>
  </si>
  <si>
    <t xml:space="preserve">   150 g</t>
  </si>
  <si>
    <t>24,22</t>
  </si>
  <si>
    <t>67,11</t>
  </si>
  <si>
    <t>6,76</t>
  </si>
  <si>
    <t>48,67</t>
  </si>
  <si>
    <t xml:space="preserve">  Bistec de Res</t>
  </si>
  <si>
    <t>7,62</t>
  </si>
  <si>
    <t>2,82</t>
  </si>
  <si>
    <t>36,15</t>
  </si>
  <si>
    <t xml:space="preserve">   165 g</t>
  </si>
  <si>
    <t xml:space="preserve">   0.2 x 1 porción (31 g)</t>
  </si>
  <si>
    <t>1,94</t>
  </si>
  <si>
    <t>0,433</t>
  </si>
  <si>
    <t>22,59</t>
  </si>
  <si>
    <t>1,4</t>
  </si>
  <si>
    <t>0,14</t>
  </si>
  <si>
    <t>3,87</t>
  </si>
  <si>
    <t xml:space="preserve">   1 mediano</t>
  </si>
  <si>
    <t xml:space="preserve">  Capuchino</t>
  </si>
  <si>
    <t>3,98</t>
  </si>
  <si>
    <t>5,81</t>
  </si>
  <si>
    <t>6,41</t>
  </si>
  <si>
    <t>4,08</t>
  </si>
  <si>
    <t xml:space="preserve">  Pronto Gelatina Light Sabor Uva</t>
  </si>
  <si>
    <t>sábado, mayo 2, 2026</t>
  </si>
  <si>
    <t>86,58</t>
  </si>
  <si>
    <t>99,93</t>
  </si>
  <si>
    <t>18,3</t>
  </si>
  <si>
    <t>31,29</t>
  </si>
  <si>
    <t>94,36</t>
  </si>
  <si>
    <t>2494,28</t>
  </si>
  <si>
    <t>48,49</t>
  </si>
  <si>
    <t>28,97</t>
  </si>
  <si>
    <t>6,9</t>
  </si>
  <si>
    <t>2,44</t>
  </si>
  <si>
    <t>43,48</t>
  </si>
  <si>
    <t>1613,78</t>
  </si>
  <si>
    <t>15,21</t>
  </si>
  <si>
    <t>1,43</t>
  </si>
  <si>
    <t xml:space="preserve">   2 huevos</t>
  </si>
  <si>
    <t>12,4</t>
  </si>
  <si>
    <t>0,78</t>
  </si>
  <si>
    <t xml:space="preserve">   2 x 1 porción, 100 g</t>
  </si>
  <si>
    <t xml:space="preserve">  La Costeña Salsa Verde para Enchiladas</t>
  </si>
  <si>
    <t xml:space="preserve">   100 ml</t>
  </si>
  <si>
    <t xml:space="preserve">  La Sierra Frijoles Negros Refritos</t>
  </si>
  <si>
    <t>5,6</t>
  </si>
  <si>
    <t>0,5</t>
  </si>
  <si>
    <t>13,3</t>
  </si>
  <si>
    <t>6,1</t>
  </si>
  <si>
    <t>38,09</t>
  </si>
  <si>
    <t>70,96</t>
  </si>
  <si>
    <t>11,4</t>
  </si>
  <si>
    <t>28,85</t>
  </si>
  <si>
    <t>50,88</t>
  </si>
  <si>
    <t>880,5</t>
  </si>
  <si>
    <t xml:space="preserve">  Camarones</t>
  </si>
  <si>
    <t>0,99</t>
  </si>
  <si>
    <t>0,187</t>
  </si>
  <si>
    <t>0,52</t>
  </si>
  <si>
    <t>11,59</t>
  </si>
  <si>
    <t xml:space="preserve">   7 camarones</t>
  </si>
  <si>
    <t>13,19</t>
  </si>
  <si>
    <t>7,68</t>
  </si>
  <si>
    <t>0,59</t>
  </si>
  <si>
    <t>1,8</t>
  </si>
  <si>
    <t xml:space="preserve">   9 tajadas</t>
  </si>
  <si>
    <t xml:space="preserve">  Ceviche de Pescado</t>
  </si>
  <si>
    <t>0,97</t>
  </si>
  <si>
    <t>0,204</t>
  </si>
  <si>
    <t>4,5</t>
  </si>
  <si>
    <t>14,06</t>
  </si>
  <si>
    <t xml:space="preserve">  Doña Jovita Marlin</t>
  </si>
  <si>
    <t>14,2</t>
  </si>
  <si>
    <t xml:space="preserve">  Milpa Real Tostadas de Maiz</t>
  </si>
  <si>
    <t>15,9</t>
  </si>
  <si>
    <t xml:space="preserve">   3 x 1 pieza, 36 g</t>
  </si>
  <si>
    <t xml:space="preserve">  Ruffles Queso</t>
  </si>
  <si>
    <t>4,9</t>
  </si>
  <si>
    <t>6,85</t>
  </si>
  <si>
    <t>90,5</t>
  </si>
  <si>
    <t xml:space="preserve">   1/2 x 1 porción, 15 g</t>
  </si>
  <si>
    <t>0,46</t>
  </si>
  <si>
    <t>0,049</t>
  </si>
  <si>
    <t>22,95</t>
  </si>
  <si>
    <t>18,85</t>
  </si>
  <si>
    <t>1,85</t>
  </si>
  <si>
    <t xml:space="preserve">  Milpa Real Totopos de Maiz</t>
  </si>
  <si>
    <t>5,95</t>
  </si>
  <si>
    <t>0,65</t>
  </si>
  <si>
    <t>fatsecret 260428</t>
  </si>
  <si>
    <t>Es desayuno u otro</t>
  </si>
  <si>
    <t>fatsecret 260429</t>
  </si>
  <si>
    <t>fatsecret 260430</t>
  </si>
  <si>
    <t>fatsecret 260501</t>
  </si>
  <si>
    <t>fatsecret 260502</t>
  </si>
  <si>
    <t>lunes, abril 27, 2026</t>
  </si>
  <si>
    <t>80,25</t>
  </si>
  <si>
    <t>179,34</t>
  </si>
  <si>
    <t>23,8</t>
  </si>
  <si>
    <t>78,9</t>
  </si>
  <si>
    <t>128,63</t>
  </si>
  <si>
    <t>30,33</t>
  </si>
  <si>
    <t>22,28</t>
  </si>
  <si>
    <t>7,5</t>
  </si>
  <si>
    <t>43,77</t>
  </si>
  <si>
    <t xml:space="preserve">  Aceite de Oliva</t>
  </si>
  <si>
    <t>13,5</t>
  </si>
  <si>
    <t xml:space="preserve">   1 cucharada</t>
  </si>
  <si>
    <t xml:space="preserve">  Huevo</t>
  </si>
  <si>
    <t>14,91</t>
  </si>
  <si>
    <t>18,87</t>
  </si>
  <si>
    <t xml:space="preserve">   3 grandes</t>
  </si>
  <si>
    <t xml:space="preserve">  Jitomate</t>
  </si>
  <si>
    <t>0,02</t>
  </si>
  <si>
    <t>2,16</t>
  </si>
  <si>
    <t>1,54</t>
  </si>
  <si>
    <t>0,49</t>
  </si>
  <si>
    <t>10,76</t>
  </si>
  <si>
    <t>69,8</t>
  </si>
  <si>
    <t>11,6</t>
  </si>
  <si>
    <t>40,94</t>
  </si>
  <si>
    <t>57,14</t>
  </si>
  <si>
    <t>0,29</t>
  </si>
  <si>
    <t>20,6</t>
  </si>
  <si>
    <t>3,8</t>
  </si>
  <si>
    <t>12,39</t>
  </si>
  <si>
    <t>1,28</t>
  </si>
  <si>
    <t xml:space="preserve">   1 1/2 tazas, cubitos</t>
  </si>
  <si>
    <t xml:space="preserve">  Fresh Gourmet Crutones Sabor Italiano</t>
  </si>
  <si>
    <t xml:space="preserve">  Danone Yoghurt Natural sin Azúcar</t>
  </si>
  <si>
    <t>39,16</t>
  </si>
  <si>
    <t>87,26</t>
  </si>
  <si>
    <t>7,6</t>
  </si>
  <si>
    <t>30,46</t>
  </si>
  <si>
    <t>27,72</t>
  </si>
  <si>
    <t xml:space="preserve">  Cinepolis Palomitas</t>
  </si>
  <si>
    <t>10,35</t>
  </si>
  <si>
    <t>15,95</t>
  </si>
  <si>
    <t xml:space="preserve">   1/2 x 1 paquete </t>
  </si>
  <si>
    <t xml:space="preserve">  La Huerta Fresas Congeladas</t>
  </si>
  <si>
    <t>4,55</t>
  </si>
  <si>
    <t>2,3</t>
  </si>
  <si>
    <t xml:space="preserve">  Quaker Hojuelas de Avena Natural (30g)</t>
  </si>
  <si>
    <t>FoodDiary_260427_foods</t>
  </si>
  <si>
    <t>02/05/2026</t>
  </si>
  <si>
    <t>01/05/2026</t>
  </si>
  <si>
    <t>30/04/2026</t>
  </si>
  <si>
    <t>29/04/2026</t>
  </si>
  <si>
    <t>28/04/2026</t>
  </si>
  <si>
    <t>pieza</t>
  </si>
  <si>
    <t>un/una</t>
  </si>
  <si>
    <t>mediano</t>
  </si>
  <si>
    <t>cm</t>
  </si>
  <si>
    <t>de</t>
  </si>
  <si>
    <t>largo)</t>
  </si>
  <si>
    <t>cucharada</t>
  </si>
  <si>
    <t>g</t>
  </si>
  <si>
    <t>taza</t>
  </si>
  <si>
    <t>tazas</t>
  </si>
  <si>
    <t>huevos</t>
  </si>
  <si>
    <t>tortilla</t>
  </si>
  <si>
    <t>camarones</t>
  </si>
  <si>
    <t>tajadas</t>
  </si>
  <si>
    <t>cucharadas</t>
  </si>
  <si>
    <t>(aprox.</t>
  </si>
  <si>
    <t>por</t>
  </si>
  <si>
    <t>g)</t>
  </si>
  <si>
    <t>cucharaditas</t>
  </si>
  <si>
    <t>pequeñas</t>
  </si>
  <si>
    <t>piezas</t>
  </si>
  <si>
    <t>porción</t>
  </si>
  <si>
    <t>ml</t>
  </si>
  <si>
    <t>cantidad_consumida</t>
  </si>
  <si>
    <t>unidad_medida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</si>
</sst>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6" formatCode="0.0"/>
  </numFmts>
  <fonts count="9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8">
    <xf numFmtId="0" fontId="0" fillId="0" borderId="0"/>
    <xf numFmtId="0" fontId="8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9">
    <xf numFmtId="0" fontId="0" fillId="0" borderId="0" xfId="0"/>
    <xf numFmtId="0" fontId="8" fillId="0" borderId="0" xfId="1"/>
    <xf numFmtId="0" fontId="7" fillId="0" borderId="0" xfId="1" applyFont="1"/>
    <xf numFmtId="0" fontId="1" fillId="0" borderId="0" xfId="7"/>
    <xf numFmtId="3" fontId="1" fillId="0" borderId="0" xfId="7" applyNumberFormat="1"/>
    <xf numFmtId="14" fontId="0" fillId="0" borderId="0" xfId="0" applyNumberFormat="1"/>
    <xf numFmtId="16" fontId="0" fillId="0" borderId="0" xfId="0" applyNumberFormat="1"/>
    <xf numFmtId="166" fontId="0" fillId="0" borderId="0" xfId="0" applyNumberFormat="1"/>
    <xf numFmtId="0" fontId="1" fillId="0" borderId="0" xfId="1" applyFont="1"/>
  </cellXfs>
  <cellStyles count="8">
    <cellStyle name="Normal" xfId="0" builtinId="0"/>
    <cellStyle name="Normal 2" xfId="1" xr:uid="{42251DAC-3526-41EE-B314-137DC463D2AF}"/>
    <cellStyle name="Normal 3" xfId="2" xr:uid="{2D978A62-68DF-40EE-91F2-8FECEAC7CE07}"/>
    <cellStyle name="Normal 4" xfId="3" xr:uid="{CBD0542A-E8F1-44C1-BCCA-A0C8203B566F}"/>
    <cellStyle name="Normal 5" xfId="4" xr:uid="{B285BD1D-E1FE-459A-ADA5-9A2AADC9186B}"/>
    <cellStyle name="Normal 6" xfId="5" xr:uid="{8E8C4185-846A-4818-8373-0B6ED4176B48}"/>
    <cellStyle name="Normal 7" xfId="6" xr:uid="{A2A9EAFB-FA93-49D5-AA11-F6493BED76E9}"/>
    <cellStyle name="Normal 8" xfId="7" xr:uid="{9B89E58F-521D-4CFD-A188-94B9D5028DAC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016A1-6264-1546-9403-9C533440839D}">
  <sheetPr codeName="Hoja1"/>
  <dimension ref="A1:AA82"/>
  <sheetViews>
    <sheetView tabSelected="1" topLeftCell="D53" workbookViewId="0">
      <selection activeCell="P53" sqref="P1:P1048576"/>
    </sheetView>
  </sheetViews>
  <sheetFormatPr baseColWidth="10" defaultRowHeight="15.6" x14ac:dyDescent="0.3"/>
  <cols>
    <col min="14" max="14" width="11.19921875" style="7"/>
  </cols>
  <sheetData>
    <row r="1" spans="1:25" x14ac:dyDescent="0.3">
      <c r="A1" s="2" t="s">
        <v>11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2" t="s">
        <v>12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0</v>
      </c>
      <c r="M1" s="1" t="s">
        <v>10</v>
      </c>
      <c r="N1" s="7" t="s">
        <v>457</v>
      </c>
      <c r="O1" s="8" t="s">
        <v>458</v>
      </c>
    </row>
    <row r="2" spans="1:25" x14ac:dyDescent="0.3">
      <c r="A2" t="s">
        <v>42</v>
      </c>
      <c r="B2">
        <v>32</v>
      </c>
      <c r="C2">
        <v>12</v>
      </c>
      <c r="D2">
        <v>4</v>
      </c>
      <c r="E2">
        <v>809</v>
      </c>
      <c r="F2">
        <v>9</v>
      </c>
      <c r="G2">
        <v>433</v>
      </c>
      <c r="H2">
        <v>39</v>
      </c>
      <c r="I2">
        <v>0</v>
      </c>
      <c r="J2">
        <v>0</v>
      </c>
      <c r="K2">
        <v>127</v>
      </c>
      <c r="L2" s="5">
        <v>46139</v>
      </c>
      <c r="M2" t="s">
        <v>48</v>
      </c>
      <c r="N2" s="7">
        <v>0.3</v>
      </c>
      <c r="O2" t="s">
        <v>434</v>
      </c>
      <c r="X2" t="s">
        <v>438</v>
      </c>
      <c r="Y2" t="s">
        <v>439</v>
      </c>
    </row>
    <row r="3" spans="1:25" x14ac:dyDescent="0.3">
      <c r="A3" t="s">
        <v>390</v>
      </c>
      <c r="B3">
        <v>119</v>
      </c>
      <c r="C3">
        <v>135</v>
      </c>
      <c r="D3">
        <v>1864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 s="5">
        <v>46139</v>
      </c>
      <c r="M3" t="s">
        <v>392</v>
      </c>
      <c r="N3" s="7">
        <v>1</v>
      </c>
      <c r="O3" t="s">
        <v>440</v>
      </c>
    </row>
    <row r="4" spans="1:25" x14ac:dyDescent="0.3">
      <c r="A4" t="s">
        <v>393</v>
      </c>
      <c r="B4">
        <v>220</v>
      </c>
      <c r="C4">
        <v>1491</v>
      </c>
      <c r="D4">
        <v>4648</v>
      </c>
      <c r="E4">
        <v>116</v>
      </c>
      <c r="F4">
        <v>0</v>
      </c>
      <c r="G4">
        <v>116</v>
      </c>
      <c r="H4">
        <v>1887</v>
      </c>
      <c r="I4">
        <v>210</v>
      </c>
      <c r="J4">
        <v>634</v>
      </c>
      <c r="K4">
        <v>201</v>
      </c>
      <c r="L4" s="5">
        <v>46139</v>
      </c>
      <c r="M4" t="s">
        <v>396</v>
      </c>
      <c r="N4" s="7">
        <v>3</v>
      </c>
      <c r="O4" t="s">
        <v>434</v>
      </c>
    </row>
    <row r="5" spans="1:25" x14ac:dyDescent="0.3">
      <c r="A5" t="s">
        <v>397</v>
      </c>
      <c r="B5">
        <v>10</v>
      </c>
      <c r="C5">
        <v>1</v>
      </c>
      <c r="D5">
        <v>2</v>
      </c>
      <c r="E5">
        <v>216</v>
      </c>
      <c r="F5">
        <v>6</v>
      </c>
      <c r="G5">
        <v>154</v>
      </c>
      <c r="H5">
        <v>49</v>
      </c>
      <c r="I5">
        <v>4</v>
      </c>
      <c r="J5">
        <v>0</v>
      </c>
      <c r="K5">
        <v>113</v>
      </c>
      <c r="L5" s="5">
        <v>46139</v>
      </c>
      <c r="M5" t="s">
        <v>225</v>
      </c>
      <c r="N5" s="7">
        <v>50</v>
      </c>
      <c r="O5" t="s">
        <v>441</v>
      </c>
    </row>
    <row r="6" spans="1:25" x14ac:dyDescent="0.3">
      <c r="A6" t="s">
        <v>34</v>
      </c>
      <c r="B6">
        <v>37</v>
      </c>
      <c r="C6">
        <v>58</v>
      </c>
      <c r="D6">
        <v>13</v>
      </c>
      <c r="E6">
        <v>678</v>
      </c>
      <c r="F6">
        <v>4</v>
      </c>
      <c r="G6">
        <v>4</v>
      </c>
      <c r="H6">
        <v>116</v>
      </c>
      <c r="I6">
        <v>82</v>
      </c>
      <c r="J6">
        <v>0</v>
      </c>
      <c r="K6">
        <v>15</v>
      </c>
      <c r="L6" s="5">
        <v>46139</v>
      </c>
      <c r="M6" t="s">
        <v>41</v>
      </c>
      <c r="N6" s="7">
        <v>0.3</v>
      </c>
      <c r="O6" t="s">
        <v>434</v>
      </c>
    </row>
    <row r="7" spans="1:25" x14ac:dyDescent="0.3">
      <c r="A7" t="s">
        <v>198</v>
      </c>
      <c r="B7">
        <v>7</v>
      </c>
      <c r="C7">
        <v>12</v>
      </c>
      <c r="D7">
        <v>19</v>
      </c>
      <c r="E7">
        <v>109</v>
      </c>
      <c r="F7">
        <v>7</v>
      </c>
      <c r="G7">
        <v>13</v>
      </c>
      <c r="H7">
        <v>86</v>
      </c>
      <c r="I7">
        <v>24</v>
      </c>
      <c r="J7">
        <v>0</v>
      </c>
      <c r="K7">
        <v>167</v>
      </c>
      <c r="L7" s="5">
        <v>46139</v>
      </c>
      <c r="M7" t="s">
        <v>203</v>
      </c>
      <c r="N7" s="7">
        <v>1</v>
      </c>
      <c r="O7" t="s">
        <v>442</v>
      </c>
    </row>
    <row r="8" spans="1:25" x14ac:dyDescent="0.3">
      <c r="A8" t="s">
        <v>130</v>
      </c>
      <c r="B8">
        <v>82</v>
      </c>
      <c r="C8">
        <v>29</v>
      </c>
      <c r="D8">
        <v>9</v>
      </c>
      <c r="E8">
        <v>206</v>
      </c>
      <c r="F8">
        <v>38</v>
      </c>
      <c r="G8">
        <v>1239</v>
      </c>
      <c r="H8">
        <v>128</v>
      </c>
      <c r="I8">
        <v>6</v>
      </c>
      <c r="J8">
        <v>0</v>
      </c>
      <c r="K8">
        <v>540</v>
      </c>
      <c r="L8" s="5">
        <v>46139</v>
      </c>
      <c r="M8" t="s">
        <v>412</v>
      </c>
      <c r="N8" s="7">
        <v>1.5</v>
      </c>
      <c r="O8" s="6" t="s">
        <v>442</v>
      </c>
    </row>
    <row r="9" spans="1:25" x14ac:dyDescent="0.3">
      <c r="A9" t="s">
        <v>413</v>
      </c>
      <c r="B9">
        <v>31</v>
      </c>
      <c r="C9">
        <v>119</v>
      </c>
      <c r="D9">
        <v>1</v>
      </c>
      <c r="E9">
        <v>435</v>
      </c>
      <c r="F9">
        <v>0</v>
      </c>
      <c r="G9">
        <v>35</v>
      </c>
      <c r="H9">
        <v>68</v>
      </c>
      <c r="I9">
        <v>80</v>
      </c>
      <c r="J9">
        <v>0</v>
      </c>
      <c r="K9">
        <v>0</v>
      </c>
      <c r="L9" s="5">
        <v>46139</v>
      </c>
      <c r="M9" t="s">
        <v>82</v>
      </c>
      <c r="N9" s="7">
        <v>7</v>
      </c>
      <c r="O9" t="s">
        <v>441</v>
      </c>
    </row>
    <row r="10" spans="1:25" x14ac:dyDescent="0.3">
      <c r="A10" t="s">
        <v>71</v>
      </c>
      <c r="B10">
        <v>111</v>
      </c>
      <c r="C10">
        <v>175</v>
      </c>
      <c r="D10">
        <v>484</v>
      </c>
      <c r="E10">
        <v>0</v>
      </c>
      <c r="F10">
        <v>0</v>
      </c>
      <c r="G10">
        <v>0</v>
      </c>
      <c r="H10">
        <v>2239</v>
      </c>
      <c r="I10">
        <v>149</v>
      </c>
      <c r="J10">
        <v>58</v>
      </c>
      <c r="K10">
        <v>222</v>
      </c>
      <c r="L10" s="5">
        <v>46139</v>
      </c>
      <c r="M10" t="s">
        <v>75</v>
      </c>
      <c r="N10" s="7">
        <v>100</v>
      </c>
      <c r="O10" t="s">
        <v>441</v>
      </c>
    </row>
    <row r="11" spans="1:25" x14ac:dyDescent="0.3">
      <c r="A11" t="s">
        <v>86</v>
      </c>
      <c r="B11">
        <v>25</v>
      </c>
      <c r="C11">
        <v>25</v>
      </c>
      <c r="D11">
        <v>45</v>
      </c>
      <c r="E11">
        <v>555</v>
      </c>
      <c r="F11">
        <v>2</v>
      </c>
      <c r="G11">
        <v>333</v>
      </c>
      <c r="H11">
        <v>127</v>
      </c>
      <c r="I11">
        <v>28</v>
      </c>
      <c r="J11">
        <v>0</v>
      </c>
      <c r="K11">
        <v>291</v>
      </c>
      <c r="L11" s="5">
        <v>46139</v>
      </c>
      <c r="M11" t="s">
        <v>91</v>
      </c>
      <c r="N11" s="7">
        <v>2</v>
      </c>
      <c r="O11" t="s">
        <v>443</v>
      </c>
    </row>
    <row r="12" spans="1:25" x14ac:dyDescent="0.3">
      <c r="A12" t="s">
        <v>130</v>
      </c>
      <c r="B12">
        <v>82</v>
      </c>
      <c r="C12">
        <v>29</v>
      </c>
      <c r="D12">
        <v>9</v>
      </c>
      <c r="E12">
        <v>206</v>
      </c>
      <c r="F12">
        <v>38</v>
      </c>
      <c r="G12">
        <v>1239</v>
      </c>
      <c r="H12">
        <v>128</v>
      </c>
      <c r="I12">
        <v>6</v>
      </c>
      <c r="J12">
        <v>0</v>
      </c>
      <c r="K12">
        <v>540</v>
      </c>
      <c r="L12" s="5">
        <v>46139</v>
      </c>
      <c r="M12" t="s">
        <v>412</v>
      </c>
      <c r="N12" s="7">
        <v>1.5</v>
      </c>
      <c r="O12" s="6" t="s">
        <v>442</v>
      </c>
    </row>
    <row r="13" spans="1:25" x14ac:dyDescent="0.3">
      <c r="A13" t="s">
        <v>413</v>
      </c>
      <c r="B13">
        <v>31</v>
      </c>
      <c r="C13">
        <v>119</v>
      </c>
      <c r="D13">
        <v>1</v>
      </c>
      <c r="E13">
        <v>435</v>
      </c>
      <c r="F13">
        <v>0</v>
      </c>
      <c r="G13">
        <v>35</v>
      </c>
      <c r="H13">
        <v>68</v>
      </c>
      <c r="I13">
        <v>80</v>
      </c>
      <c r="J13">
        <v>0</v>
      </c>
      <c r="K13">
        <v>0</v>
      </c>
      <c r="L13" s="5">
        <v>46139</v>
      </c>
      <c r="M13" t="s">
        <v>82</v>
      </c>
      <c r="N13">
        <v>7</v>
      </c>
      <c r="O13" t="s">
        <v>441</v>
      </c>
    </row>
    <row r="14" spans="1:25" x14ac:dyDescent="0.3">
      <c r="A14" t="s">
        <v>71</v>
      </c>
      <c r="B14">
        <v>111</v>
      </c>
      <c r="C14">
        <v>175</v>
      </c>
      <c r="D14">
        <v>484</v>
      </c>
      <c r="E14">
        <v>0</v>
      </c>
      <c r="F14">
        <v>0</v>
      </c>
      <c r="G14">
        <v>0</v>
      </c>
      <c r="H14">
        <v>2239</v>
      </c>
      <c r="I14">
        <v>149</v>
      </c>
      <c r="J14">
        <v>58</v>
      </c>
      <c r="K14">
        <v>222</v>
      </c>
      <c r="L14" s="5">
        <v>46139</v>
      </c>
      <c r="M14" t="s">
        <v>75</v>
      </c>
      <c r="N14" s="7">
        <v>100</v>
      </c>
      <c r="O14" t="s">
        <v>441</v>
      </c>
    </row>
    <row r="15" spans="1:25" x14ac:dyDescent="0.3">
      <c r="A15" t="s">
        <v>86</v>
      </c>
      <c r="B15">
        <v>25</v>
      </c>
      <c r="C15">
        <v>25</v>
      </c>
      <c r="D15">
        <v>45</v>
      </c>
      <c r="E15">
        <v>555</v>
      </c>
      <c r="F15">
        <v>2</v>
      </c>
      <c r="G15">
        <v>333</v>
      </c>
      <c r="H15">
        <v>127</v>
      </c>
      <c r="I15">
        <v>28</v>
      </c>
      <c r="J15">
        <v>0</v>
      </c>
      <c r="K15">
        <v>291</v>
      </c>
      <c r="L15" s="5">
        <v>46139</v>
      </c>
      <c r="M15" t="s">
        <v>91</v>
      </c>
      <c r="N15" s="7">
        <v>2</v>
      </c>
      <c r="O15" t="s">
        <v>443</v>
      </c>
    </row>
    <row r="16" spans="1:25" x14ac:dyDescent="0.3">
      <c r="A16" t="s">
        <v>149</v>
      </c>
      <c r="B16">
        <v>146</v>
      </c>
      <c r="C16">
        <v>793</v>
      </c>
      <c r="D16">
        <v>4551</v>
      </c>
      <c r="E16">
        <v>1103</v>
      </c>
      <c r="F16">
        <v>0</v>
      </c>
      <c r="G16">
        <v>1283</v>
      </c>
      <c r="H16">
        <v>786</v>
      </c>
      <c r="I16">
        <v>98</v>
      </c>
      <c r="J16">
        <v>24</v>
      </c>
      <c r="K16">
        <v>349</v>
      </c>
      <c r="L16" s="5">
        <v>46139</v>
      </c>
      <c r="M16" t="s">
        <v>203</v>
      </c>
      <c r="N16" s="7">
        <v>1</v>
      </c>
      <c r="O16" t="s">
        <v>442</v>
      </c>
    </row>
    <row r="17" spans="1:15" x14ac:dyDescent="0.3">
      <c r="A17" t="s">
        <v>427</v>
      </c>
      <c r="B17">
        <v>71</v>
      </c>
      <c r="C17">
        <v>13</v>
      </c>
      <c r="D17">
        <v>3</v>
      </c>
      <c r="E17">
        <v>121</v>
      </c>
      <c r="F17">
        <v>28</v>
      </c>
      <c r="G17">
        <v>1</v>
      </c>
      <c r="H17">
        <v>27</v>
      </c>
      <c r="I17">
        <v>0</v>
      </c>
      <c r="J17">
        <v>0</v>
      </c>
      <c r="L17" s="5">
        <v>46139</v>
      </c>
      <c r="M17" t="s">
        <v>194</v>
      </c>
      <c r="N17" s="7">
        <v>30</v>
      </c>
      <c r="O17" t="s">
        <v>441</v>
      </c>
    </row>
    <row r="18" spans="1:15" x14ac:dyDescent="0.3">
      <c r="A18" t="s">
        <v>149</v>
      </c>
      <c r="B18">
        <v>146</v>
      </c>
      <c r="C18">
        <v>793</v>
      </c>
      <c r="D18">
        <v>4551</v>
      </c>
      <c r="E18">
        <v>1103</v>
      </c>
      <c r="F18">
        <v>0</v>
      </c>
      <c r="G18">
        <v>1283</v>
      </c>
      <c r="H18">
        <v>786</v>
      </c>
      <c r="I18">
        <v>98</v>
      </c>
      <c r="J18">
        <v>24</v>
      </c>
      <c r="K18">
        <v>349</v>
      </c>
      <c r="L18" s="5">
        <v>46139</v>
      </c>
      <c r="M18" t="s">
        <v>203</v>
      </c>
      <c r="N18" s="7">
        <v>1</v>
      </c>
      <c r="O18" t="s">
        <v>442</v>
      </c>
    </row>
    <row r="19" spans="1:15" x14ac:dyDescent="0.3">
      <c r="A19" t="s">
        <v>427</v>
      </c>
      <c r="B19">
        <v>71</v>
      </c>
      <c r="C19">
        <v>13</v>
      </c>
      <c r="D19">
        <v>3</v>
      </c>
      <c r="E19">
        <v>121</v>
      </c>
      <c r="F19">
        <v>28</v>
      </c>
      <c r="G19">
        <v>1</v>
      </c>
      <c r="H19">
        <v>27</v>
      </c>
      <c r="I19">
        <v>0</v>
      </c>
      <c r="J19">
        <v>0</v>
      </c>
      <c r="L19" s="5">
        <v>46139</v>
      </c>
      <c r="M19" t="s">
        <v>194</v>
      </c>
      <c r="N19" s="7">
        <v>30</v>
      </c>
      <c r="O19" t="s">
        <v>441</v>
      </c>
    </row>
    <row r="20" spans="1:15" x14ac:dyDescent="0.3">
      <c r="A20" t="s">
        <v>170</v>
      </c>
      <c r="B20">
        <v>199</v>
      </c>
      <c r="C20">
        <v>1521</v>
      </c>
      <c r="D20">
        <v>5784</v>
      </c>
      <c r="E20">
        <v>196</v>
      </c>
      <c r="F20">
        <v>0</v>
      </c>
      <c r="G20">
        <v>143</v>
      </c>
      <c r="H20">
        <v>1301</v>
      </c>
      <c r="I20">
        <v>211</v>
      </c>
      <c r="J20">
        <v>400</v>
      </c>
      <c r="K20">
        <v>138</v>
      </c>
      <c r="L20" s="5">
        <v>46144</v>
      </c>
      <c r="M20" t="s">
        <v>323</v>
      </c>
      <c r="N20" s="7">
        <v>2</v>
      </c>
      <c r="O20" t="s">
        <v>444</v>
      </c>
    </row>
    <row r="21" spans="1:15" x14ac:dyDescent="0.3">
      <c r="A21" t="s">
        <v>329</v>
      </c>
      <c r="B21">
        <v>128</v>
      </c>
      <c r="C21">
        <v>56</v>
      </c>
      <c r="D21">
        <v>5</v>
      </c>
      <c r="E21">
        <v>133</v>
      </c>
      <c r="F21">
        <v>44</v>
      </c>
      <c r="G21">
        <v>8</v>
      </c>
      <c r="H21">
        <v>61</v>
      </c>
      <c r="I21">
        <v>513</v>
      </c>
      <c r="J21">
        <v>0</v>
      </c>
      <c r="L21" s="5">
        <v>46144</v>
      </c>
      <c r="M21" t="s">
        <v>105</v>
      </c>
      <c r="N21" s="7">
        <v>1</v>
      </c>
      <c r="O21" t="s">
        <v>455</v>
      </c>
    </row>
    <row r="22" spans="1:15" x14ac:dyDescent="0.3">
      <c r="A22" t="s">
        <v>163</v>
      </c>
      <c r="B22">
        <v>52</v>
      </c>
      <c r="C22">
        <v>68</v>
      </c>
      <c r="D22">
        <v>109</v>
      </c>
      <c r="E22">
        <v>1071</v>
      </c>
      <c r="F22">
        <v>15</v>
      </c>
      <c r="G22">
        <v>21</v>
      </c>
      <c r="H22">
        <v>137</v>
      </c>
      <c r="I22">
        <v>11</v>
      </c>
      <c r="J22">
        <v>0</v>
      </c>
      <c r="K22">
        <v>45</v>
      </c>
      <c r="L22" s="5">
        <v>46144</v>
      </c>
      <c r="M22" t="s">
        <v>169</v>
      </c>
      <c r="N22" s="7">
        <v>1</v>
      </c>
      <c r="O22" t="s">
        <v>445</v>
      </c>
    </row>
    <row r="23" spans="1:15" x14ac:dyDescent="0.3">
      <c r="A23" t="s">
        <v>340</v>
      </c>
      <c r="B23">
        <v>60</v>
      </c>
      <c r="C23">
        <v>99</v>
      </c>
      <c r="D23">
        <v>187</v>
      </c>
      <c r="E23">
        <v>52</v>
      </c>
      <c r="F23">
        <v>0</v>
      </c>
      <c r="G23">
        <v>0</v>
      </c>
      <c r="H23">
        <v>1159</v>
      </c>
      <c r="I23">
        <v>257</v>
      </c>
      <c r="J23">
        <v>87</v>
      </c>
      <c r="K23">
        <v>74</v>
      </c>
      <c r="L23" s="5">
        <v>46144</v>
      </c>
      <c r="M23" t="s">
        <v>345</v>
      </c>
      <c r="N23" s="7">
        <v>7</v>
      </c>
      <c r="O23" t="s">
        <v>446</v>
      </c>
    </row>
    <row r="24" spans="1:15" x14ac:dyDescent="0.3">
      <c r="A24" t="s">
        <v>276</v>
      </c>
      <c r="B24">
        <v>144</v>
      </c>
      <c r="C24">
        <v>1319</v>
      </c>
      <c r="D24">
        <v>1913</v>
      </c>
      <c r="E24">
        <v>768</v>
      </c>
      <c r="F24">
        <v>6</v>
      </c>
      <c r="G24">
        <v>59</v>
      </c>
      <c r="H24">
        <v>18</v>
      </c>
      <c r="I24">
        <v>6</v>
      </c>
      <c r="J24">
        <v>0</v>
      </c>
      <c r="K24">
        <v>436</v>
      </c>
      <c r="L24" s="5">
        <v>46144</v>
      </c>
      <c r="M24" t="s">
        <v>350</v>
      </c>
      <c r="N24" s="7">
        <v>9</v>
      </c>
      <c r="O24" t="s">
        <v>447</v>
      </c>
    </row>
    <row r="25" spans="1:15" x14ac:dyDescent="0.3">
      <c r="A25" t="s">
        <v>351</v>
      </c>
      <c r="B25">
        <v>84</v>
      </c>
      <c r="C25">
        <v>97</v>
      </c>
      <c r="D25">
        <v>204</v>
      </c>
      <c r="E25">
        <v>45</v>
      </c>
      <c r="F25">
        <v>6</v>
      </c>
      <c r="G25">
        <v>16</v>
      </c>
      <c r="H25">
        <v>1406</v>
      </c>
      <c r="I25">
        <v>158</v>
      </c>
      <c r="J25">
        <v>25</v>
      </c>
      <c r="K25">
        <v>362</v>
      </c>
      <c r="L25" s="5">
        <v>46144</v>
      </c>
      <c r="M25" t="s">
        <v>58</v>
      </c>
      <c r="N25" s="7">
        <v>0.5</v>
      </c>
      <c r="O25" t="s">
        <v>442</v>
      </c>
    </row>
    <row r="26" spans="1:15" x14ac:dyDescent="0.3">
      <c r="A26" t="s">
        <v>358</v>
      </c>
      <c r="B26">
        <v>153</v>
      </c>
      <c r="C26">
        <v>9</v>
      </c>
      <c r="D26">
        <v>12</v>
      </c>
      <c r="E26">
        <v>159</v>
      </c>
      <c r="F26">
        <v>18</v>
      </c>
      <c r="G26">
        <v>3</v>
      </c>
      <c r="H26">
        <v>18</v>
      </c>
      <c r="I26">
        <v>294</v>
      </c>
      <c r="J26">
        <v>0</v>
      </c>
      <c r="K26">
        <v>0</v>
      </c>
      <c r="L26" s="5">
        <v>46144</v>
      </c>
      <c r="M26" t="s">
        <v>360</v>
      </c>
      <c r="N26">
        <v>36</v>
      </c>
      <c r="O26" t="s">
        <v>441</v>
      </c>
    </row>
    <row r="27" spans="1:15" x14ac:dyDescent="0.3">
      <c r="A27" t="s">
        <v>302</v>
      </c>
      <c r="B27">
        <v>74</v>
      </c>
      <c r="C27">
        <v>398</v>
      </c>
      <c r="D27">
        <v>2273</v>
      </c>
      <c r="E27">
        <v>581</v>
      </c>
      <c r="F27">
        <v>2</v>
      </c>
      <c r="G27">
        <v>641</v>
      </c>
      <c r="H27">
        <v>408</v>
      </c>
      <c r="I27">
        <v>50</v>
      </c>
      <c r="J27">
        <v>12</v>
      </c>
      <c r="K27">
        <v>233</v>
      </c>
      <c r="L27" s="5">
        <v>46144</v>
      </c>
      <c r="M27" t="s">
        <v>159</v>
      </c>
      <c r="N27" s="7">
        <v>1</v>
      </c>
      <c r="O27" t="s">
        <v>442</v>
      </c>
    </row>
    <row r="28" spans="1:15" x14ac:dyDescent="0.3">
      <c r="A28" t="s">
        <v>361</v>
      </c>
      <c r="B28">
        <v>75</v>
      </c>
      <c r="C28">
        <v>49</v>
      </c>
      <c r="D28">
        <v>85</v>
      </c>
      <c r="E28">
        <v>685</v>
      </c>
      <c r="F28">
        <v>6</v>
      </c>
      <c r="G28">
        <v>4</v>
      </c>
      <c r="H28">
        <v>85</v>
      </c>
      <c r="I28">
        <v>905</v>
      </c>
      <c r="J28">
        <v>0</v>
      </c>
      <c r="K28">
        <v>0</v>
      </c>
      <c r="L28" s="5">
        <v>46144</v>
      </c>
      <c r="M28" t="s">
        <v>365</v>
      </c>
      <c r="N28">
        <v>15</v>
      </c>
      <c r="O28" t="s">
        <v>441</v>
      </c>
    </row>
    <row r="29" spans="1:15" x14ac:dyDescent="0.3">
      <c r="A29" t="s">
        <v>245</v>
      </c>
      <c r="B29">
        <v>91</v>
      </c>
      <c r="C29">
        <v>46</v>
      </c>
      <c r="D29">
        <v>49</v>
      </c>
      <c r="E29">
        <v>2295</v>
      </c>
      <c r="F29">
        <v>12</v>
      </c>
      <c r="G29">
        <v>1885</v>
      </c>
      <c r="H29">
        <v>185</v>
      </c>
      <c r="I29">
        <v>3</v>
      </c>
      <c r="J29">
        <v>0</v>
      </c>
      <c r="K29">
        <v>340</v>
      </c>
      <c r="L29" s="5">
        <v>46144</v>
      </c>
      <c r="M29" t="s">
        <v>91</v>
      </c>
      <c r="N29" s="7">
        <v>2</v>
      </c>
      <c r="O29" t="s">
        <v>443</v>
      </c>
    </row>
    <row r="30" spans="1:15" x14ac:dyDescent="0.3">
      <c r="A30" t="s">
        <v>264</v>
      </c>
      <c r="B30">
        <v>8</v>
      </c>
      <c r="C30">
        <v>4</v>
      </c>
      <c r="D30">
        <v>8</v>
      </c>
      <c r="E30">
        <v>166</v>
      </c>
      <c r="F30">
        <v>11</v>
      </c>
      <c r="G30">
        <v>58</v>
      </c>
      <c r="H30">
        <v>66</v>
      </c>
      <c r="I30">
        <v>10</v>
      </c>
      <c r="J30">
        <v>0</v>
      </c>
      <c r="K30">
        <v>128</v>
      </c>
      <c r="L30" s="5">
        <v>46143</v>
      </c>
      <c r="M30" t="s">
        <v>225</v>
      </c>
      <c r="N30" s="7">
        <v>50</v>
      </c>
      <c r="O30" t="s">
        <v>441</v>
      </c>
    </row>
    <row r="31" spans="1:15" x14ac:dyDescent="0.3">
      <c r="A31" t="s">
        <v>269</v>
      </c>
      <c r="B31">
        <v>69</v>
      </c>
      <c r="C31">
        <v>625</v>
      </c>
      <c r="D31">
        <v>907</v>
      </c>
      <c r="E31">
        <v>372</v>
      </c>
      <c r="F31">
        <v>29</v>
      </c>
      <c r="G31">
        <v>31</v>
      </c>
      <c r="H31">
        <v>86</v>
      </c>
      <c r="I31">
        <v>65</v>
      </c>
      <c r="J31">
        <v>0</v>
      </c>
      <c r="K31">
        <v>208</v>
      </c>
      <c r="L31" s="5">
        <v>46143</v>
      </c>
      <c r="M31" t="s">
        <v>275</v>
      </c>
      <c r="N31" s="7">
        <v>3</v>
      </c>
      <c r="O31" t="s">
        <v>448</v>
      </c>
    </row>
    <row r="32" spans="1:15" x14ac:dyDescent="0.3">
      <c r="A32" t="s">
        <v>276</v>
      </c>
      <c r="B32">
        <v>32</v>
      </c>
      <c r="C32">
        <v>293</v>
      </c>
      <c r="D32">
        <v>425</v>
      </c>
      <c r="E32">
        <v>171</v>
      </c>
      <c r="F32">
        <v>13</v>
      </c>
      <c r="G32">
        <v>13</v>
      </c>
      <c r="H32">
        <v>4</v>
      </c>
      <c r="I32">
        <v>1</v>
      </c>
      <c r="J32">
        <v>0</v>
      </c>
      <c r="K32">
        <v>97</v>
      </c>
      <c r="L32" s="5">
        <v>46143</v>
      </c>
      <c r="M32" t="s">
        <v>279</v>
      </c>
      <c r="N32" s="7">
        <v>2</v>
      </c>
      <c r="O32" t="s">
        <v>447</v>
      </c>
    </row>
    <row r="33" spans="1:25" x14ac:dyDescent="0.3">
      <c r="A33" t="s">
        <v>280</v>
      </c>
      <c r="B33">
        <v>284</v>
      </c>
      <c r="C33">
        <v>227</v>
      </c>
      <c r="D33">
        <v>8254</v>
      </c>
      <c r="E33">
        <v>151</v>
      </c>
      <c r="F33">
        <v>7</v>
      </c>
      <c r="G33">
        <v>13</v>
      </c>
      <c r="H33">
        <v>1775</v>
      </c>
      <c r="I33">
        <v>336</v>
      </c>
      <c r="J33">
        <v>74</v>
      </c>
      <c r="K33">
        <v>297</v>
      </c>
      <c r="L33" s="5">
        <v>46143</v>
      </c>
      <c r="M33" t="s">
        <v>284</v>
      </c>
      <c r="N33" s="7">
        <v>150</v>
      </c>
      <c r="O33" t="s">
        <v>441</v>
      </c>
    </row>
    <row r="34" spans="1:25" x14ac:dyDescent="0.3">
      <c r="A34" t="s">
        <v>163</v>
      </c>
      <c r="B34">
        <v>52</v>
      </c>
      <c r="C34">
        <v>68</v>
      </c>
      <c r="D34">
        <v>109</v>
      </c>
      <c r="E34">
        <v>1071</v>
      </c>
      <c r="F34">
        <v>15</v>
      </c>
      <c r="G34">
        <v>21</v>
      </c>
      <c r="H34">
        <v>137</v>
      </c>
      <c r="I34">
        <v>11</v>
      </c>
      <c r="J34">
        <v>0</v>
      </c>
      <c r="K34">
        <v>45</v>
      </c>
      <c r="L34" s="5">
        <v>46143</v>
      </c>
      <c r="M34" t="s">
        <v>169</v>
      </c>
      <c r="N34" s="7">
        <v>1</v>
      </c>
      <c r="O34" t="s">
        <v>445</v>
      </c>
    </row>
    <row r="35" spans="1:25" x14ac:dyDescent="0.3">
      <c r="A35" t="s">
        <v>42</v>
      </c>
      <c r="B35">
        <v>32</v>
      </c>
      <c r="C35">
        <v>12</v>
      </c>
      <c r="D35">
        <v>4</v>
      </c>
      <c r="E35">
        <v>809</v>
      </c>
      <c r="F35">
        <v>9</v>
      </c>
      <c r="G35">
        <v>433</v>
      </c>
      <c r="H35">
        <v>39</v>
      </c>
      <c r="I35">
        <v>0</v>
      </c>
      <c r="J35">
        <v>0</v>
      </c>
      <c r="K35">
        <v>127</v>
      </c>
      <c r="L35" s="5">
        <v>46143</v>
      </c>
      <c r="M35" t="s">
        <v>48</v>
      </c>
      <c r="N35" s="7">
        <v>0.3</v>
      </c>
      <c r="O35" t="s">
        <v>435</v>
      </c>
      <c r="W35" t="s">
        <v>437</v>
      </c>
      <c r="X35" t="s">
        <v>438</v>
      </c>
      <c r="Y35" t="s">
        <v>439</v>
      </c>
    </row>
    <row r="36" spans="1:25" x14ac:dyDescent="0.3">
      <c r="A36" t="s">
        <v>289</v>
      </c>
      <c r="B36">
        <v>223</v>
      </c>
      <c r="C36">
        <v>762</v>
      </c>
      <c r="D36">
        <v>282</v>
      </c>
      <c r="E36">
        <v>0</v>
      </c>
      <c r="F36">
        <v>0</v>
      </c>
      <c r="G36">
        <v>0</v>
      </c>
      <c r="H36">
        <v>3615</v>
      </c>
      <c r="I36">
        <v>94</v>
      </c>
      <c r="J36">
        <v>78</v>
      </c>
      <c r="K36">
        <v>564</v>
      </c>
      <c r="L36" s="5">
        <v>46143</v>
      </c>
      <c r="M36" t="s">
        <v>293</v>
      </c>
      <c r="N36" s="7">
        <v>165</v>
      </c>
      <c r="O36" t="s">
        <v>441</v>
      </c>
    </row>
    <row r="37" spans="1:25" x14ac:dyDescent="0.3">
      <c r="A37" t="s">
        <v>34</v>
      </c>
      <c r="B37">
        <v>125</v>
      </c>
      <c r="C37">
        <v>194</v>
      </c>
      <c r="D37">
        <v>433</v>
      </c>
      <c r="E37">
        <v>2259</v>
      </c>
      <c r="F37">
        <v>14</v>
      </c>
      <c r="G37">
        <v>14</v>
      </c>
      <c r="H37">
        <v>387</v>
      </c>
      <c r="I37">
        <v>274</v>
      </c>
      <c r="J37">
        <v>0</v>
      </c>
      <c r="K37">
        <v>51</v>
      </c>
      <c r="L37" s="5">
        <v>46143</v>
      </c>
      <c r="M37" t="s">
        <v>301</v>
      </c>
      <c r="N37" s="7">
        <v>1</v>
      </c>
      <c r="O37" t="s">
        <v>436</v>
      </c>
    </row>
    <row r="38" spans="1:25" x14ac:dyDescent="0.3">
      <c r="A38" t="s">
        <v>163</v>
      </c>
      <c r="B38">
        <v>52</v>
      </c>
      <c r="C38">
        <v>68</v>
      </c>
      <c r="D38">
        <v>109</v>
      </c>
      <c r="E38">
        <v>1071</v>
      </c>
      <c r="F38">
        <v>15</v>
      </c>
      <c r="G38">
        <v>21</v>
      </c>
      <c r="H38">
        <v>137</v>
      </c>
      <c r="I38">
        <v>11</v>
      </c>
      <c r="J38">
        <v>0</v>
      </c>
      <c r="K38">
        <v>45</v>
      </c>
      <c r="L38" s="5">
        <v>46143</v>
      </c>
      <c r="M38" t="s">
        <v>169</v>
      </c>
      <c r="N38" s="7">
        <v>1</v>
      </c>
      <c r="O38" t="s">
        <v>445</v>
      </c>
    </row>
    <row r="39" spans="1:25" x14ac:dyDescent="0.3">
      <c r="A39" t="s">
        <v>302</v>
      </c>
      <c r="B39">
        <v>74</v>
      </c>
      <c r="C39">
        <v>398</v>
      </c>
      <c r="D39">
        <v>2273</v>
      </c>
      <c r="E39">
        <v>581</v>
      </c>
      <c r="F39">
        <v>2</v>
      </c>
      <c r="G39">
        <v>641</v>
      </c>
      <c r="H39">
        <v>408</v>
      </c>
      <c r="I39">
        <v>50</v>
      </c>
      <c r="J39">
        <v>12</v>
      </c>
      <c r="K39">
        <v>233</v>
      </c>
      <c r="L39" s="5">
        <v>46143</v>
      </c>
      <c r="M39" t="s">
        <v>159</v>
      </c>
      <c r="N39" s="7">
        <v>240</v>
      </c>
      <c r="O39" t="s">
        <v>456</v>
      </c>
    </row>
    <row r="40" spans="1:25" x14ac:dyDescent="0.3">
      <c r="A40" t="s">
        <v>307</v>
      </c>
      <c r="B40">
        <v>12</v>
      </c>
      <c r="C40">
        <v>0</v>
      </c>
      <c r="D40">
        <v>0</v>
      </c>
      <c r="E40">
        <v>1</v>
      </c>
      <c r="F40">
        <v>0</v>
      </c>
      <c r="G40">
        <v>0</v>
      </c>
      <c r="H40">
        <v>2</v>
      </c>
      <c r="I40">
        <v>218</v>
      </c>
      <c r="J40">
        <v>0</v>
      </c>
      <c r="L40" s="5">
        <v>46143</v>
      </c>
      <c r="M40" t="s">
        <v>75</v>
      </c>
      <c r="N40" s="7">
        <v>100</v>
      </c>
      <c r="O40" t="s">
        <v>441</v>
      </c>
    </row>
    <row r="41" spans="1:25" x14ac:dyDescent="0.3">
      <c r="A41" t="s">
        <v>49</v>
      </c>
      <c r="B41">
        <v>39</v>
      </c>
      <c r="C41">
        <v>24</v>
      </c>
      <c r="D41">
        <v>17</v>
      </c>
      <c r="E41">
        <v>1</v>
      </c>
      <c r="F41">
        <v>0</v>
      </c>
      <c r="G41">
        <v>1</v>
      </c>
      <c r="H41">
        <v>33</v>
      </c>
      <c r="I41">
        <v>154</v>
      </c>
      <c r="J41">
        <v>10</v>
      </c>
      <c r="L41" s="5">
        <v>46142</v>
      </c>
      <c r="M41" t="s">
        <v>33</v>
      </c>
      <c r="N41" s="7">
        <v>30</v>
      </c>
      <c r="O41" t="s">
        <v>441</v>
      </c>
    </row>
    <row r="42" spans="1:25" x14ac:dyDescent="0.3">
      <c r="A42" t="s">
        <v>42</v>
      </c>
      <c r="B42">
        <v>32</v>
      </c>
      <c r="C42">
        <v>12</v>
      </c>
      <c r="D42">
        <v>4</v>
      </c>
      <c r="E42">
        <v>809</v>
      </c>
      <c r="F42">
        <v>9</v>
      </c>
      <c r="G42">
        <v>433</v>
      </c>
      <c r="H42">
        <v>39</v>
      </c>
      <c r="I42">
        <v>0</v>
      </c>
      <c r="J42">
        <v>0</v>
      </c>
      <c r="K42">
        <v>127</v>
      </c>
      <c r="L42" s="5">
        <v>46142</v>
      </c>
      <c r="M42" t="s">
        <v>48</v>
      </c>
      <c r="N42" s="7">
        <v>0.3</v>
      </c>
      <c r="O42" t="s">
        <v>435</v>
      </c>
      <c r="W42" t="s">
        <v>437</v>
      </c>
      <c r="X42" t="s">
        <v>438</v>
      </c>
      <c r="Y42" t="s">
        <v>439</v>
      </c>
    </row>
    <row r="43" spans="1:25" x14ac:dyDescent="0.3">
      <c r="A43" t="s">
        <v>170</v>
      </c>
      <c r="B43">
        <v>299</v>
      </c>
      <c r="C43">
        <v>2281</v>
      </c>
      <c r="D43">
        <v>8676</v>
      </c>
      <c r="E43">
        <v>293</v>
      </c>
      <c r="F43">
        <v>0</v>
      </c>
      <c r="G43">
        <v>214</v>
      </c>
      <c r="H43">
        <v>1951</v>
      </c>
      <c r="I43">
        <v>316</v>
      </c>
      <c r="J43">
        <v>601</v>
      </c>
      <c r="K43">
        <v>207</v>
      </c>
      <c r="L43" s="5">
        <v>46142</v>
      </c>
      <c r="M43" t="s">
        <v>175</v>
      </c>
      <c r="N43" s="7">
        <v>3</v>
      </c>
      <c r="O43" t="s">
        <v>444</v>
      </c>
    </row>
    <row r="44" spans="1:25" x14ac:dyDescent="0.3">
      <c r="A44" t="s">
        <v>163</v>
      </c>
      <c r="B44">
        <v>52</v>
      </c>
      <c r="C44">
        <v>68</v>
      </c>
      <c r="D44">
        <v>109</v>
      </c>
      <c r="E44">
        <v>1071</v>
      </c>
      <c r="F44">
        <v>15</v>
      </c>
      <c r="G44">
        <v>21</v>
      </c>
      <c r="H44">
        <v>137</v>
      </c>
      <c r="I44">
        <v>11</v>
      </c>
      <c r="J44">
        <v>0</v>
      </c>
      <c r="K44">
        <v>45</v>
      </c>
      <c r="L44" s="5">
        <v>46142</v>
      </c>
      <c r="M44" t="s">
        <v>169</v>
      </c>
      <c r="N44" s="7">
        <v>1</v>
      </c>
      <c r="O44" t="s">
        <v>445</v>
      </c>
    </row>
    <row r="45" spans="1:25" x14ac:dyDescent="0.3">
      <c r="A45" t="s">
        <v>223</v>
      </c>
      <c r="B45">
        <v>139</v>
      </c>
      <c r="C45">
        <v>10</v>
      </c>
      <c r="D45">
        <v>7</v>
      </c>
      <c r="E45">
        <v>15</v>
      </c>
      <c r="F45">
        <v>0</v>
      </c>
      <c r="G45">
        <v>15</v>
      </c>
      <c r="H45">
        <v>1075</v>
      </c>
      <c r="I45">
        <v>350</v>
      </c>
      <c r="J45">
        <v>0</v>
      </c>
      <c r="K45">
        <v>0</v>
      </c>
      <c r="L45" s="5">
        <v>46142</v>
      </c>
      <c r="M45" t="s">
        <v>225</v>
      </c>
      <c r="N45" s="7">
        <v>50</v>
      </c>
      <c r="O45" t="s">
        <v>441</v>
      </c>
    </row>
    <row r="46" spans="1:25" x14ac:dyDescent="0.3">
      <c r="A46" t="s">
        <v>71</v>
      </c>
      <c r="B46">
        <v>111</v>
      </c>
      <c r="C46">
        <v>175</v>
      </c>
      <c r="D46">
        <v>484</v>
      </c>
      <c r="E46">
        <v>0</v>
      </c>
      <c r="F46">
        <v>0</v>
      </c>
      <c r="G46">
        <v>0</v>
      </c>
      <c r="H46">
        <v>2239</v>
      </c>
      <c r="I46">
        <v>149</v>
      </c>
      <c r="J46">
        <v>58</v>
      </c>
      <c r="K46">
        <v>222</v>
      </c>
      <c r="L46" s="5">
        <v>46142</v>
      </c>
      <c r="M46" t="s">
        <v>75</v>
      </c>
      <c r="N46" s="7">
        <v>100</v>
      </c>
      <c r="O46" t="s">
        <v>441</v>
      </c>
    </row>
    <row r="47" spans="1:25" x14ac:dyDescent="0.3">
      <c r="A47" t="s">
        <v>76</v>
      </c>
      <c r="B47">
        <v>31</v>
      </c>
      <c r="C47">
        <v>119</v>
      </c>
      <c r="D47">
        <v>1</v>
      </c>
      <c r="E47">
        <v>435</v>
      </c>
      <c r="F47">
        <v>0</v>
      </c>
      <c r="G47">
        <v>35</v>
      </c>
      <c r="H47">
        <v>68</v>
      </c>
      <c r="I47">
        <v>80</v>
      </c>
      <c r="J47">
        <v>0</v>
      </c>
      <c r="K47">
        <v>0</v>
      </c>
      <c r="L47" s="5">
        <v>46142</v>
      </c>
      <c r="M47" t="s">
        <v>82</v>
      </c>
      <c r="N47">
        <v>7</v>
      </c>
      <c r="O47" t="s">
        <v>441</v>
      </c>
    </row>
    <row r="48" spans="1:25" x14ac:dyDescent="0.3">
      <c r="A48" t="s">
        <v>86</v>
      </c>
      <c r="B48">
        <v>25</v>
      </c>
      <c r="C48">
        <v>25</v>
      </c>
      <c r="D48">
        <v>45</v>
      </c>
      <c r="E48">
        <v>555</v>
      </c>
      <c r="F48">
        <v>2</v>
      </c>
      <c r="G48">
        <v>333</v>
      </c>
      <c r="H48">
        <v>127</v>
      </c>
      <c r="I48">
        <v>28</v>
      </c>
      <c r="J48">
        <v>0</v>
      </c>
      <c r="K48">
        <v>291</v>
      </c>
      <c r="L48" s="5">
        <v>46142</v>
      </c>
      <c r="M48" t="s">
        <v>91</v>
      </c>
      <c r="N48" s="7">
        <v>2</v>
      </c>
      <c r="O48" t="s">
        <v>443</v>
      </c>
    </row>
    <row r="49" spans="1:27" x14ac:dyDescent="0.3">
      <c r="A49" t="s">
        <v>92</v>
      </c>
      <c r="B49">
        <v>18</v>
      </c>
      <c r="C49">
        <v>6</v>
      </c>
      <c r="D49">
        <v>1</v>
      </c>
      <c r="E49">
        <v>476</v>
      </c>
      <c r="F49">
        <v>8</v>
      </c>
      <c r="G49">
        <v>358</v>
      </c>
      <c r="H49">
        <v>9</v>
      </c>
      <c r="I49">
        <v>0</v>
      </c>
      <c r="J49">
        <v>0</v>
      </c>
      <c r="K49">
        <v>37</v>
      </c>
      <c r="L49" s="5">
        <v>46142</v>
      </c>
      <c r="M49" t="s">
        <v>99</v>
      </c>
      <c r="N49" s="7">
        <v>0.25</v>
      </c>
      <c r="O49" t="s">
        <v>434</v>
      </c>
      <c r="W49" t="s">
        <v>449</v>
      </c>
      <c r="X49">
        <v>3</v>
      </c>
      <c r="Y49" t="s">
        <v>450</v>
      </c>
      <c r="Z49">
        <v>450</v>
      </c>
      <c r="AA49" t="s">
        <v>451</v>
      </c>
    </row>
    <row r="50" spans="1:27" x14ac:dyDescent="0.3">
      <c r="A50" t="s">
        <v>190</v>
      </c>
      <c r="B50">
        <v>71</v>
      </c>
      <c r="C50">
        <v>13</v>
      </c>
      <c r="D50">
        <v>3</v>
      </c>
      <c r="E50">
        <v>121</v>
      </c>
      <c r="F50">
        <v>28</v>
      </c>
      <c r="G50">
        <v>1</v>
      </c>
      <c r="H50">
        <v>27</v>
      </c>
      <c r="I50">
        <v>0</v>
      </c>
      <c r="J50">
        <v>0</v>
      </c>
      <c r="L50" s="5">
        <v>46142</v>
      </c>
      <c r="M50" t="s">
        <v>194</v>
      </c>
      <c r="N50">
        <v>30</v>
      </c>
      <c r="O50" t="s">
        <v>441</v>
      </c>
    </row>
    <row r="51" spans="1:27" x14ac:dyDescent="0.3">
      <c r="A51" t="s">
        <v>198</v>
      </c>
      <c r="B51">
        <v>7</v>
      </c>
      <c r="C51">
        <v>12</v>
      </c>
      <c r="D51">
        <v>19</v>
      </c>
      <c r="E51">
        <v>109</v>
      </c>
      <c r="F51">
        <v>7</v>
      </c>
      <c r="G51">
        <v>13</v>
      </c>
      <c r="H51">
        <v>86</v>
      </c>
      <c r="I51">
        <v>24</v>
      </c>
      <c r="J51">
        <v>0</v>
      </c>
      <c r="K51">
        <v>167</v>
      </c>
      <c r="L51" s="5">
        <v>46142</v>
      </c>
      <c r="M51" t="s">
        <v>203</v>
      </c>
      <c r="N51" s="7">
        <v>1</v>
      </c>
      <c r="O51" t="s">
        <v>442</v>
      </c>
    </row>
    <row r="52" spans="1:27" x14ac:dyDescent="0.3">
      <c r="A52" t="s">
        <v>204</v>
      </c>
      <c r="B52">
        <v>146</v>
      </c>
      <c r="C52">
        <v>793</v>
      </c>
      <c r="D52">
        <v>4551</v>
      </c>
      <c r="E52">
        <v>1103</v>
      </c>
      <c r="F52">
        <v>0</v>
      </c>
      <c r="G52">
        <v>1283</v>
      </c>
      <c r="H52">
        <v>786</v>
      </c>
      <c r="I52">
        <v>98</v>
      </c>
      <c r="J52">
        <v>24</v>
      </c>
      <c r="K52">
        <v>349</v>
      </c>
      <c r="L52" s="5">
        <v>46142</v>
      </c>
      <c r="M52" t="s">
        <v>203</v>
      </c>
      <c r="N52" s="7">
        <v>1</v>
      </c>
      <c r="O52" t="s">
        <v>442</v>
      </c>
    </row>
    <row r="53" spans="1:27" x14ac:dyDescent="0.3">
      <c r="A53" t="s">
        <v>240</v>
      </c>
      <c r="B53">
        <v>150</v>
      </c>
      <c r="C53">
        <v>81</v>
      </c>
      <c r="D53">
        <v>1584</v>
      </c>
      <c r="E53">
        <v>1778</v>
      </c>
      <c r="F53">
        <v>9</v>
      </c>
      <c r="G53">
        <v>6</v>
      </c>
      <c r="H53">
        <v>168</v>
      </c>
      <c r="I53">
        <v>91</v>
      </c>
      <c r="J53">
        <v>0</v>
      </c>
      <c r="K53">
        <v>163</v>
      </c>
      <c r="L53" s="5">
        <v>46142</v>
      </c>
      <c r="M53" t="s">
        <v>244</v>
      </c>
      <c r="N53" s="7">
        <v>30</v>
      </c>
      <c r="O53" t="s">
        <v>441</v>
      </c>
    </row>
    <row r="54" spans="1:27" x14ac:dyDescent="0.3">
      <c r="A54" t="s">
        <v>182</v>
      </c>
      <c r="B54">
        <v>56</v>
      </c>
      <c r="C54">
        <v>0</v>
      </c>
      <c r="D54">
        <v>0</v>
      </c>
      <c r="E54">
        <v>115</v>
      </c>
      <c r="F54">
        <v>0</v>
      </c>
      <c r="G54">
        <v>115</v>
      </c>
      <c r="H54">
        <v>25</v>
      </c>
      <c r="I54">
        <v>13</v>
      </c>
      <c r="J54">
        <v>0</v>
      </c>
      <c r="L54" s="5">
        <v>46142</v>
      </c>
      <c r="M54" t="s">
        <v>183</v>
      </c>
      <c r="N54">
        <v>130</v>
      </c>
      <c r="O54" t="s">
        <v>441</v>
      </c>
    </row>
    <row r="55" spans="1:27" x14ac:dyDescent="0.3">
      <c r="A55" t="s">
        <v>245</v>
      </c>
      <c r="B55">
        <v>46</v>
      </c>
      <c r="C55">
        <v>23</v>
      </c>
      <c r="D55">
        <v>24</v>
      </c>
      <c r="E55">
        <v>1148</v>
      </c>
      <c r="F55">
        <v>6</v>
      </c>
      <c r="G55">
        <v>942</v>
      </c>
      <c r="H55">
        <v>93</v>
      </c>
      <c r="I55">
        <v>2</v>
      </c>
      <c r="J55">
        <v>0</v>
      </c>
      <c r="K55">
        <v>170</v>
      </c>
      <c r="L55" s="5">
        <v>46142</v>
      </c>
      <c r="M55" t="s">
        <v>203</v>
      </c>
      <c r="N55" s="7">
        <v>1</v>
      </c>
      <c r="O55" t="s">
        <v>442</v>
      </c>
    </row>
    <row r="56" spans="1:27" x14ac:dyDescent="0.3">
      <c r="A56" t="s">
        <v>149</v>
      </c>
      <c r="B56">
        <v>37</v>
      </c>
      <c r="C56">
        <v>198</v>
      </c>
      <c r="D56">
        <v>1138</v>
      </c>
      <c r="E56">
        <v>276</v>
      </c>
      <c r="F56">
        <v>0</v>
      </c>
      <c r="G56">
        <v>321</v>
      </c>
      <c r="H56">
        <v>196</v>
      </c>
      <c r="I56">
        <v>24</v>
      </c>
      <c r="J56">
        <v>6</v>
      </c>
      <c r="K56">
        <v>87</v>
      </c>
      <c r="L56" s="5">
        <v>46141</v>
      </c>
      <c r="M56" t="s">
        <v>154</v>
      </c>
      <c r="N56" s="7">
        <v>0.25</v>
      </c>
      <c r="O56" t="s">
        <v>442</v>
      </c>
      <c r="P56" s="6"/>
    </row>
    <row r="57" spans="1:27" x14ac:dyDescent="0.3">
      <c r="A57" t="s">
        <v>155</v>
      </c>
      <c r="B57">
        <v>2</v>
      </c>
      <c r="C57">
        <v>5</v>
      </c>
      <c r="D57">
        <v>5</v>
      </c>
      <c r="E57">
        <v>9</v>
      </c>
      <c r="F57">
        <v>0</v>
      </c>
      <c r="G57">
        <v>0</v>
      </c>
      <c r="H57">
        <v>28</v>
      </c>
      <c r="I57">
        <v>5</v>
      </c>
      <c r="J57">
        <v>0</v>
      </c>
      <c r="K57">
        <v>111</v>
      </c>
      <c r="L57" s="5">
        <v>46141</v>
      </c>
      <c r="M57" t="s">
        <v>159</v>
      </c>
      <c r="N57" s="7">
        <v>240</v>
      </c>
      <c r="O57" t="s">
        <v>456</v>
      </c>
    </row>
    <row r="58" spans="1:27" x14ac:dyDescent="0.3">
      <c r="A58" t="s">
        <v>160</v>
      </c>
      <c r="B58">
        <v>33</v>
      </c>
      <c r="C58">
        <v>0</v>
      </c>
      <c r="D58">
        <v>0</v>
      </c>
      <c r="E58">
        <v>84</v>
      </c>
      <c r="F58">
        <v>0</v>
      </c>
      <c r="G58">
        <v>839</v>
      </c>
      <c r="H58">
        <v>0</v>
      </c>
      <c r="I58">
        <v>0</v>
      </c>
      <c r="J58">
        <v>0</v>
      </c>
      <c r="K58">
        <v>0</v>
      </c>
      <c r="L58" s="5">
        <v>46141</v>
      </c>
      <c r="M58" t="s">
        <v>162</v>
      </c>
      <c r="N58" s="7">
        <v>2</v>
      </c>
      <c r="O58" t="s">
        <v>452</v>
      </c>
    </row>
    <row r="59" spans="1:27" x14ac:dyDescent="0.3">
      <c r="A59" t="s">
        <v>163</v>
      </c>
      <c r="B59">
        <v>52</v>
      </c>
      <c r="C59">
        <v>68</v>
      </c>
      <c r="D59">
        <v>109</v>
      </c>
      <c r="E59">
        <v>1071</v>
      </c>
      <c r="F59">
        <v>15</v>
      </c>
      <c r="G59">
        <v>21</v>
      </c>
      <c r="H59">
        <v>137</v>
      </c>
      <c r="I59">
        <v>11</v>
      </c>
      <c r="J59">
        <v>0</v>
      </c>
      <c r="K59">
        <v>45</v>
      </c>
      <c r="L59" s="5">
        <v>46141</v>
      </c>
      <c r="M59" t="s">
        <v>169</v>
      </c>
      <c r="N59" s="7">
        <v>1</v>
      </c>
      <c r="O59" t="s">
        <v>445</v>
      </c>
    </row>
    <row r="60" spans="1:27" x14ac:dyDescent="0.3">
      <c r="A60" t="s">
        <v>170</v>
      </c>
      <c r="B60">
        <v>299</v>
      </c>
      <c r="C60">
        <v>2281</v>
      </c>
      <c r="D60">
        <v>8676</v>
      </c>
      <c r="E60">
        <v>293</v>
      </c>
      <c r="F60">
        <v>0</v>
      </c>
      <c r="G60">
        <v>214</v>
      </c>
      <c r="H60">
        <v>1951</v>
      </c>
      <c r="I60">
        <v>316</v>
      </c>
      <c r="J60">
        <v>601</v>
      </c>
      <c r="K60">
        <v>207</v>
      </c>
      <c r="L60" s="5">
        <v>46141</v>
      </c>
      <c r="M60" t="s">
        <v>175</v>
      </c>
      <c r="N60" s="7">
        <v>3</v>
      </c>
      <c r="O60" t="s">
        <v>444</v>
      </c>
    </row>
    <row r="61" spans="1:27" x14ac:dyDescent="0.3">
      <c r="A61" t="s">
        <v>42</v>
      </c>
      <c r="B61">
        <v>32</v>
      </c>
      <c r="C61">
        <v>12</v>
      </c>
      <c r="D61">
        <v>4</v>
      </c>
      <c r="E61">
        <v>809</v>
      </c>
      <c r="F61">
        <v>9</v>
      </c>
      <c r="G61">
        <v>433</v>
      </c>
      <c r="H61">
        <v>39</v>
      </c>
      <c r="I61">
        <v>0</v>
      </c>
      <c r="J61">
        <v>0</v>
      </c>
      <c r="K61">
        <v>127</v>
      </c>
      <c r="L61" s="5">
        <v>46141</v>
      </c>
      <c r="M61" t="s">
        <v>48</v>
      </c>
      <c r="N61" s="7">
        <v>0.3</v>
      </c>
      <c r="O61" t="s">
        <v>454</v>
      </c>
      <c r="W61" t="s">
        <v>437</v>
      </c>
      <c r="X61" t="s">
        <v>438</v>
      </c>
      <c r="Y61" t="s">
        <v>439</v>
      </c>
    </row>
    <row r="62" spans="1:27" x14ac:dyDescent="0.3">
      <c r="A62" t="s">
        <v>49</v>
      </c>
      <c r="B62">
        <v>121</v>
      </c>
      <c r="C62">
        <v>9</v>
      </c>
      <c r="D62">
        <v>63</v>
      </c>
      <c r="E62">
        <v>4</v>
      </c>
      <c r="F62">
        <v>0</v>
      </c>
      <c r="G62">
        <v>4</v>
      </c>
      <c r="H62">
        <v>6</v>
      </c>
      <c r="I62">
        <v>584</v>
      </c>
      <c r="J62">
        <v>10</v>
      </c>
      <c r="K62">
        <v>0</v>
      </c>
      <c r="L62" s="5">
        <v>46141</v>
      </c>
      <c r="M62" t="s">
        <v>75</v>
      </c>
      <c r="N62" s="7">
        <v>100</v>
      </c>
      <c r="O62" t="s">
        <v>441</v>
      </c>
    </row>
    <row r="63" spans="1:27" x14ac:dyDescent="0.3">
      <c r="A63" t="s">
        <v>71</v>
      </c>
      <c r="B63">
        <v>111</v>
      </c>
      <c r="C63">
        <v>175</v>
      </c>
      <c r="D63">
        <v>484</v>
      </c>
      <c r="E63">
        <v>0</v>
      </c>
      <c r="F63">
        <v>0</v>
      </c>
      <c r="G63">
        <v>0</v>
      </c>
      <c r="H63">
        <v>2239</v>
      </c>
      <c r="I63">
        <v>149</v>
      </c>
      <c r="J63">
        <v>58</v>
      </c>
      <c r="K63">
        <v>222</v>
      </c>
      <c r="L63" s="5">
        <v>46141</v>
      </c>
      <c r="M63" t="s">
        <v>75</v>
      </c>
      <c r="N63" s="7">
        <v>100</v>
      </c>
      <c r="O63" t="s">
        <v>441</v>
      </c>
    </row>
    <row r="64" spans="1:27" x14ac:dyDescent="0.3">
      <c r="A64" t="s">
        <v>76</v>
      </c>
      <c r="B64">
        <v>31</v>
      </c>
      <c r="C64">
        <v>119</v>
      </c>
      <c r="D64">
        <v>1</v>
      </c>
      <c r="E64">
        <v>435</v>
      </c>
      <c r="F64">
        <v>0</v>
      </c>
      <c r="G64">
        <v>35</v>
      </c>
      <c r="H64">
        <v>68</v>
      </c>
      <c r="I64">
        <v>80</v>
      </c>
      <c r="J64">
        <v>0</v>
      </c>
      <c r="K64">
        <v>0</v>
      </c>
      <c r="L64" s="5">
        <v>46141</v>
      </c>
      <c r="M64" t="s">
        <v>82</v>
      </c>
      <c r="N64" s="7">
        <v>7</v>
      </c>
      <c r="O64" t="s">
        <v>441</v>
      </c>
    </row>
    <row r="65" spans="1:27" x14ac:dyDescent="0.3">
      <c r="A65" t="s">
        <v>86</v>
      </c>
      <c r="B65">
        <v>25</v>
      </c>
      <c r="C65">
        <v>25</v>
      </c>
      <c r="D65">
        <v>45</v>
      </c>
      <c r="E65">
        <v>555</v>
      </c>
      <c r="F65">
        <v>2</v>
      </c>
      <c r="G65">
        <v>333</v>
      </c>
      <c r="H65">
        <v>127</v>
      </c>
      <c r="I65">
        <v>28</v>
      </c>
      <c r="J65">
        <v>0</v>
      </c>
      <c r="K65">
        <v>291</v>
      </c>
      <c r="L65" s="5">
        <v>46141</v>
      </c>
      <c r="M65" t="s">
        <v>91</v>
      </c>
      <c r="N65" s="7">
        <v>2</v>
      </c>
      <c r="O65" t="s">
        <v>443</v>
      </c>
    </row>
    <row r="66" spans="1:27" x14ac:dyDescent="0.3">
      <c r="A66" t="s">
        <v>92</v>
      </c>
      <c r="B66">
        <v>18</v>
      </c>
      <c r="C66">
        <v>6</v>
      </c>
      <c r="D66">
        <v>1</v>
      </c>
      <c r="E66">
        <v>476</v>
      </c>
      <c r="F66">
        <v>8</v>
      </c>
      <c r="G66">
        <v>358</v>
      </c>
      <c r="H66">
        <v>9</v>
      </c>
      <c r="I66">
        <v>0</v>
      </c>
      <c r="J66">
        <v>0</v>
      </c>
      <c r="K66">
        <v>37</v>
      </c>
      <c r="L66" s="5">
        <v>46141</v>
      </c>
      <c r="M66" t="s">
        <v>99</v>
      </c>
      <c r="N66" s="7">
        <v>0.25</v>
      </c>
      <c r="O66" t="s">
        <v>434</v>
      </c>
      <c r="P66" s="6"/>
      <c r="W66" t="s">
        <v>449</v>
      </c>
      <c r="X66">
        <v>3</v>
      </c>
      <c r="Y66" t="s">
        <v>450</v>
      </c>
      <c r="Z66">
        <v>450</v>
      </c>
      <c r="AA66" t="s">
        <v>451</v>
      </c>
    </row>
    <row r="67" spans="1:27" x14ac:dyDescent="0.3">
      <c r="A67" t="s">
        <v>182</v>
      </c>
      <c r="B67">
        <v>56</v>
      </c>
      <c r="C67">
        <v>0</v>
      </c>
      <c r="D67">
        <v>0</v>
      </c>
      <c r="E67">
        <v>115</v>
      </c>
      <c r="F67">
        <v>0</v>
      </c>
      <c r="G67">
        <v>115</v>
      </c>
      <c r="H67">
        <v>25</v>
      </c>
      <c r="I67">
        <v>13</v>
      </c>
      <c r="J67">
        <v>0</v>
      </c>
      <c r="L67" s="5">
        <v>46141</v>
      </c>
      <c r="M67" t="s">
        <v>183</v>
      </c>
      <c r="N67" s="7">
        <v>130</v>
      </c>
      <c r="O67" t="s">
        <v>441</v>
      </c>
    </row>
    <row r="68" spans="1:27" x14ac:dyDescent="0.3">
      <c r="A68" t="s">
        <v>130</v>
      </c>
      <c r="B68">
        <v>55</v>
      </c>
      <c r="C68">
        <v>2</v>
      </c>
      <c r="D68">
        <v>6</v>
      </c>
      <c r="E68">
        <v>1373</v>
      </c>
      <c r="F68">
        <v>25</v>
      </c>
      <c r="G68">
        <v>826</v>
      </c>
      <c r="H68">
        <v>85</v>
      </c>
      <c r="I68">
        <v>4</v>
      </c>
      <c r="J68">
        <v>0</v>
      </c>
      <c r="K68">
        <v>360</v>
      </c>
      <c r="L68" s="5">
        <v>46141</v>
      </c>
      <c r="M68" t="s">
        <v>136</v>
      </c>
      <c r="N68" s="7">
        <v>1</v>
      </c>
      <c r="O68" t="s">
        <v>442</v>
      </c>
    </row>
    <row r="69" spans="1:27" x14ac:dyDescent="0.3">
      <c r="A69" t="s">
        <v>190</v>
      </c>
      <c r="B69">
        <v>71</v>
      </c>
      <c r="C69">
        <v>13</v>
      </c>
      <c r="D69">
        <v>3</v>
      </c>
      <c r="E69">
        <v>121</v>
      </c>
      <c r="F69">
        <v>28</v>
      </c>
      <c r="G69">
        <v>1</v>
      </c>
      <c r="H69">
        <v>27</v>
      </c>
      <c r="I69">
        <v>0</v>
      </c>
      <c r="J69">
        <v>0</v>
      </c>
      <c r="L69" s="5">
        <v>46141</v>
      </c>
      <c r="M69" t="s">
        <v>194</v>
      </c>
      <c r="N69">
        <v>30</v>
      </c>
      <c r="O69" t="s">
        <v>441</v>
      </c>
      <c r="P69" s="6"/>
    </row>
    <row r="70" spans="1:27" x14ac:dyDescent="0.3">
      <c r="A70" t="s">
        <v>198</v>
      </c>
      <c r="B70">
        <v>7</v>
      </c>
      <c r="C70">
        <v>12</v>
      </c>
      <c r="D70">
        <v>19</v>
      </c>
      <c r="E70">
        <v>109</v>
      </c>
      <c r="F70">
        <v>7</v>
      </c>
      <c r="G70">
        <v>13</v>
      </c>
      <c r="H70">
        <v>86</v>
      </c>
      <c r="I70">
        <v>24</v>
      </c>
      <c r="J70">
        <v>0</v>
      </c>
      <c r="K70">
        <v>167</v>
      </c>
      <c r="L70" s="5">
        <v>46141</v>
      </c>
      <c r="M70" t="s">
        <v>203</v>
      </c>
      <c r="N70" s="7">
        <v>1</v>
      </c>
      <c r="O70" t="s">
        <v>442</v>
      </c>
    </row>
    <row r="71" spans="1:27" x14ac:dyDescent="0.3">
      <c r="A71" t="s">
        <v>204</v>
      </c>
      <c r="B71">
        <v>146</v>
      </c>
      <c r="C71">
        <v>793</v>
      </c>
      <c r="D71">
        <v>4551</v>
      </c>
      <c r="E71">
        <v>1103</v>
      </c>
      <c r="F71">
        <v>0</v>
      </c>
      <c r="G71">
        <v>1283</v>
      </c>
      <c r="H71">
        <v>786</v>
      </c>
      <c r="I71">
        <v>98</v>
      </c>
      <c r="J71">
        <v>24</v>
      </c>
      <c r="K71">
        <v>349</v>
      </c>
      <c r="L71" s="5">
        <v>46141</v>
      </c>
      <c r="M71" t="s">
        <v>203</v>
      </c>
      <c r="N71" s="7">
        <v>1</v>
      </c>
      <c r="O71" t="s">
        <v>442</v>
      </c>
    </row>
    <row r="72" spans="1:27" x14ac:dyDescent="0.3">
      <c r="A72" t="s">
        <v>34</v>
      </c>
      <c r="B72">
        <v>37</v>
      </c>
      <c r="C72">
        <v>58</v>
      </c>
      <c r="D72">
        <v>13</v>
      </c>
      <c r="E72">
        <v>678</v>
      </c>
      <c r="F72">
        <v>4</v>
      </c>
      <c r="G72">
        <v>4</v>
      </c>
      <c r="H72">
        <v>116</v>
      </c>
      <c r="I72">
        <v>82</v>
      </c>
      <c r="J72">
        <v>0</v>
      </c>
      <c r="K72">
        <v>15</v>
      </c>
      <c r="L72" s="5">
        <v>46140</v>
      </c>
      <c r="M72" t="s">
        <v>41</v>
      </c>
      <c r="N72" s="7">
        <v>0.3</v>
      </c>
      <c r="O72" t="s">
        <v>454</v>
      </c>
    </row>
    <row r="73" spans="1:27" x14ac:dyDescent="0.3">
      <c r="A73" t="s">
        <v>42</v>
      </c>
      <c r="B73">
        <v>32</v>
      </c>
      <c r="C73">
        <v>12</v>
      </c>
      <c r="D73">
        <v>4</v>
      </c>
      <c r="E73">
        <v>809</v>
      </c>
      <c r="F73">
        <v>9</v>
      </c>
      <c r="G73">
        <v>433</v>
      </c>
      <c r="H73">
        <v>39</v>
      </c>
      <c r="I73">
        <v>0</v>
      </c>
      <c r="J73">
        <v>0</v>
      </c>
      <c r="K73">
        <v>127</v>
      </c>
      <c r="L73" s="5">
        <v>46140</v>
      </c>
      <c r="M73" t="s">
        <v>48</v>
      </c>
      <c r="N73" s="7">
        <v>0.3</v>
      </c>
      <c r="O73" t="s">
        <v>454</v>
      </c>
      <c r="W73" t="s">
        <v>437</v>
      </c>
      <c r="X73" t="s">
        <v>438</v>
      </c>
      <c r="Y73" t="s">
        <v>439</v>
      </c>
    </row>
    <row r="74" spans="1:27" x14ac:dyDescent="0.3">
      <c r="A74" t="s">
        <v>49</v>
      </c>
      <c r="B74">
        <v>78</v>
      </c>
      <c r="C74">
        <v>48</v>
      </c>
      <c r="D74">
        <v>34</v>
      </c>
      <c r="E74">
        <v>2</v>
      </c>
      <c r="F74">
        <v>0</v>
      </c>
      <c r="G74">
        <v>2</v>
      </c>
      <c r="H74">
        <v>66</v>
      </c>
      <c r="I74">
        <v>308</v>
      </c>
      <c r="J74">
        <v>20</v>
      </c>
      <c r="L74" s="5">
        <v>46140</v>
      </c>
      <c r="M74" t="s">
        <v>53</v>
      </c>
      <c r="N74" s="7">
        <v>60</v>
      </c>
      <c r="O74" t="s">
        <v>441</v>
      </c>
    </row>
    <row r="75" spans="1:27" x14ac:dyDescent="0.3">
      <c r="A75" t="s">
        <v>54</v>
      </c>
      <c r="B75">
        <v>191</v>
      </c>
      <c r="C75">
        <v>651</v>
      </c>
      <c r="D75">
        <v>2464</v>
      </c>
      <c r="E75">
        <v>2706</v>
      </c>
      <c r="F75">
        <v>7</v>
      </c>
      <c r="H75">
        <v>701</v>
      </c>
      <c r="I75">
        <v>534</v>
      </c>
      <c r="J75">
        <v>6</v>
      </c>
      <c r="K75">
        <v>453</v>
      </c>
      <c r="L75" s="5">
        <v>46140</v>
      </c>
      <c r="M75" t="s">
        <v>58</v>
      </c>
      <c r="N75" s="7">
        <v>0.5</v>
      </c>
      <c r="O75" t="s">
        <v>442</v>
      </c>
      <c r="P75" s="6"/>
    </row>
    <row r="76" spans="1:27" x14ac:dyDescent="0.3">
      <c r="A76" t="s">
        <v>71</v>
      </c>
      <c r="B76">
        <v>111</v>
      </c>
      <c r="C76">
        <v>175</v>
      </c>
      <c r="D76">
        <v>484</v>
      </c>
      <c r="E76">
        <v>0</v>
      </c>
      <c r="F76">
        <v>0</v>
      </c>
      <c r="G76">
        <v>0</v>
      </c>
      <c r="H76">
        <v>2239</v>
      </c>
      <c r="I76">
        <v>149</v>
      </c>
      <c r="J76">
        <v>58</v>
      </c>
      <c r="K76">
        <v>222</v>
      </c>
      <c r="L76" s="5">
        <v>46140</v>
      </c>
      <c r="M76" t="s">
        <v>75</v>
      </c>
      <c r="N76" s="7">
        <v>100</v>
      </c>
      <c r="O76" t="s">
        <v>441</v>
      </c>
    </row>
    <row r="77" spans="1:27" x14ac:dyDescent="0.3">
      <c r="A77" t="s">
        <v>76</v>
      </c>
      <c r="B77">
        <v>31</v>
      </c>
      <c r="C77">
        <v>119</v>
      </c>
      <c r="D77">
        <v>1</v>
      </c>
      <c r="E77">
        <v>435</v>
      </c>
      <c r="F77">
        <v>0</v>
      </c>
      <c r="G77">
        <v>35</v>
      </c>
      <c r="H77">
        <v>68</v>
      </c>
      <c r="I77">
        <v>80</v>
      </c>
      <c r="J77">
        <v>0</v>
      </c>
      <c r="K77">
        <v>0</v>
      </c>
      <c r="L77" s="5">
        <v>46140</v>
      </c>
      <c r="M77" t="s">
        <v>82</v>
      </c>
      <c r="N77" s="7">
        <v>7</v>
      </c>
      <c r="O77" t="s">
        <v>441</v>
      </c>
    </row>
    <row r="78" spans="1:27" x14ac:dyDescent="0.3">
      <c r="A78" t="s">
        <v>86</v>
      </c>
      <c r="B78">
        <v>25</v>
      </c>
      <c r="C78">
        <v>25</v>
      </c>
      <c r="D78">
        <v>45</v>
      </c>
      <c r="E78">
        <v>555</v>
      </c>
      <c r="F78">
        <v>2</v>
      </c>
      <c r="G78">
        <v>333</v>
      </c>
      <c r="H78">
        <v>127</v>
      </c>
      <c r="I78">
        <v>28</v>
      </c>
      <c r="J78">
        <v>0</v>
      </c>
      <c r="K78">
        <v>291</v>
      </c>
      <c r="L78" s="5">
        <v>46140</v>
      </c>
      <c r="M78" t="s">
        <v>91</v>
      </c>
      <c r="N78" s="7">
        <v>2</v>
      </c>
      <c r="O78" t="s">
        <v>443</v>
      </c>
    </row>
    <row r="79" spans="1:27" x14ac:dyDescent="0.3">
      <c r="A79" t="s">
        <v>92</v>
      </c>
      <c r="B79">
        <v>18</v>
      </c>
      <c r="C79">
        <v>6</v>
      </c>
      <c r="D79">
        <v>1</v>
      </c>
      <c r="E79">
        <v>476</v>
      </c>
      <c r="F79">
        <v>8</v>
      </c>
      <c r="G79">
        <v>358</v>
      </c>
      <c r="H79">
        <v>9</v>
      </c>
      <c r="I79">
        <v>0</v>
      </c>
      <c r="J79">
        <v>0</v>
      </c>
      <c r="K79">
        <v>37</v>
      </c>
      <c r="L79" s="5">
        <v>46140</v>
      </c>
      <c r="M79" t="s">
        <v>99</v>
      </c>
      <c r="N79" s="7">
        <v>0.25</v>
      </c>
      <c r="O79" t="s">
        <v>434</v>
      </c>
      <c r="P79" s="6"/>
      <c r="W79" t="s">
        <v>449</v>
      </c>
      <c r="X79">
        <v>3</v>
      </c>
      <c r="Y79" t="s">
        <v>450</v>
      </c>
      <c r="Z79">
        <v>450</v>
      </c>
      <c r="AA79" t="s">
        <v>451</v>
      </c>
    </row>
    <row r="80" spans="1:27" x14ac:dyDescent="0.3">
      <c r="A80" t="s">
        <v>100</v>
      </c>
      <c r="B80">
        <v>41</v>
      </c>
      <c r="C80">
        <v>0</v>
      </c>
      <c r="D80">
        <v>0</v>
      </c>
      <c r="E80">
        <v>835</v>
      </c>
      <c r="F80">
        <v>0</v>
      </c>
      <c r="G80">
        <v>792</v>
      </c>
      <c r="H80">
        <v>187</v>
      </c>
      <c r="I80">
        <v>9277</v>
      </c>
      <c r="J80">
        <v>0</v>
      </c>
      <c r="K80">
        <v>0</v>
      </c>
      <c r="L80" s="5">
        <v>46140</v>
      </c>
      <c r="M80" t="s">
        <v>105</v>
      </c>
      <c r="N80" s="7">
        <v>130</v>
      </c>
      <c r="O80" t="s">
        <v>441</v>
      </c>
    </row>
    <row r="81" spans="1:15" x14ac:dyDescent="0.3">
      <c r="A81" t="s">
        <v>116</v>
      </c>
      <c r="B81">
        <v>9</v>
      </c>
      <c r="C81">
        <v>8</v>
      </c>
      <c r="D81">
        <v>4</v>
      </c>
      <c r="E81">
        <v>215</v>
      </c>
      <c r="F81">
        <v>6</v>
      </c>
      <c r="G81">
        <v>13</v>
      </c>
      <c r="H81">
        <v>19</v>
      </c>
      <c r="I81">
        <v>0</v>
      </c>
      <c r="J81">
        <v>0</v>
      </c>
      <c r="K81">
        <v>43</v>
      </c>
      <c r="L81" s="5">
        <v>46140</v>
      </c>
      <c r="M81" t="s">
        <v>122</v>
      </c>
      <c r="N81" s="7">
        <v>4</v>
      </c>
      <c r="O81" t="s">
        <v>453</v>
      </c>
    </row>
    <row r="82" spans="1:15" x14ac:dyDescent="0.3">
      <c r="A82" t="s">
        <v>130</v>
      </c>
      <c r="B82">
        <v>55</v>
      </c>
      <c r="C82">
        <v>2</v>
      </c>
      <c r="D82">
        <v>6</v>
      </c>
      <c r="E82">
        <v>1373</v>
      </c>
      <c r="F82">
        <v>25</v>
      </c>
      <c r="G82">
        <v>826</v>
      </c>
      <c r="H82">
        <v>85</v>
      </c>
      <c r="I82">
        <v>4</v>
      </c>
      <c r="J82">
        <v>0</v>
      </c>
      <c r="K82">
        <v>360</v>
      </c>
      <c r="L82" s="5">
        <v>46140</v>
      </c>
      <c r="M82" t="s">
        <v>136</v>
      </c>
      <c r="N82" s="7">
        <v>1</v>
      </c>
      <c r="O82" t="s">
        <v>442</v>
      </c>
    </row>
  </sheetData>
  <autoFilter ref="A1:AA82" xr:uid="{CB7016A1-6264-1546-9403-9C533440839D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0FB72-BF61-4299-9377-D508CEA8FDCE}">
  <sheetPr codeName="Hoja2" filterMode="1"/>
  <dimension ref="A1:N64"/>
  <sheetViews>
    <sheetView workbookViewId="0">
      <selection activeCell="N10" sqref="N10:N64"/>
    </sheetView>
  </sheetViews>
  <sheetFormatPr baseColWidth="10" defaultRowHeight="14.4" x14ac:dyDescent="0.3"/>
  <cols>
    <col min="1" max="16384" width="11.19921875" style="3"/>
  </cols>
  <sheetData>
    <row r="1" spans="1:14" x14ac:dyDescent="0.3">
      <c r="A1" s="3" t="s">
        <v>13</v>
      </c>
    </row>
    <row r="2" spans="1:14" x14ac:dyDescent="0.3">
      <c r="A2" s="3" t="s">
        <v>14</v>
      </c>
      <c r="B2" s="3" t="s">
        <v>15</v>
      </c>
    </row>
    <row r="3" spans="1:14" x14ac:dyDescent="0.3">
      <c r="A3" s="3" t="s">
        <v>13</v>
      </c>
    </row>
    <row r="5" spans="1:14" x14ac:dyDescent="0.3">
      <c r="A5" s="3" t="s">
        <v>13</v>
      </c>
    </row>
    <row r="6" spans="1:14" hidden="1" x14ac:dyDescent="0.3">
      <c r="A6" s="3" t="s">
        <v>16</v>
      </c>
    </row>
    <row r="7" spans="1:14" hidden="1" x14ac:dyDescent="0.3">
      <c r="A7" s="3" t="s">
        <v>13</v>
      </c>
    </row>
    <row r="8" spans="1:14" hidden="1" x14ac:dyDescent="0.3">
      <c r="A8" s="3" t="s">
        <v>0</v>
      </c>
      <c r="B8" s="3" t="s">
        <v>1</v>
      </c>
      <c r="C8" s="3" t="s">
        <v>2</v>
      </c>
      <c r="D8" s="3" t="s">
        <v>3</v>
      </c>
      <c r="E8" s="3" t="s">
        <v>4</v>
      </c>
      <c r="F8" s="3" t="s">
        <v>5</v>
      </c>
      <c r="G8" s="3" t="s">
        <v>17</v>
      </c>
      <c r="H8" s="3" t="s">
        <v>6</v>
      </c>
      <c r="I8" s="3" t="s">
        <v>7</v>
      </c>
      <c r="J8" s="3" t="s">
        <v>8</v>
      </c>
      <c r="K8" s="3" t="s">
        <v>9</v>
      </c>
      <c r="L8" s="3" t="s">
        <v>0</v>
      </c>
      <c r="M8" s="3" t="s">
        <v>10</v>
      </c>
      <c r="N8" s="3" t="s">
        <v>375</v>
      </c>
    </row>
    <row r="9" spans="1:14" hidden="1" x14ac:dyDescent="0.3">
      <c r="A9" s="3" t="s">
        <v>428</v>
      </c>
      <c r="B9" s="3" t="e">
        <f>MID(A9,FIND(" ",A9,1)+1,6)</f>
        <v>#VALUE!</v>
      </c>
      <c r="C9" s="3" t="e">
        <f>RIGHT(B9,2) &amp; "/" &amp; MID(B9,3,2) &amp; "/2026"</f>
        <v>#VALUE!</v>
      </c>
    </row>
    <row r="10" spans="1:14" x14ac:dyDescent="0.3">
      <c r="A10" s="3" t="s">
        <v>380</v>
      </c>
      <c r="B10" s="3">
        <v>1935</v>
      </c>
      <c r="C10" s="3" t="s">
        <v>381</v>
      </c>
      <c r="D10" s="4">
        <v>20261</v>
      </c>
      <c r="E10" s="3" t="s">
        <v>382</v>
      </c>
      <c r="F10" s="3" t="s">
        <v>383</v>
      </c>
      <c r="G10" s="3" t="s">
        <v>384</v>
      </c>
      <c r="H10" s="3" t="s">
        <v>385</v>
      </c>
      <c r="I10" s="3">
        <v>1292</v>
      </c>
      <c r="J10" s="3">
        <v>798</v>
      </c>
      <c r="K10" s="3">
        <v>3427</v>
      </c>
      <c r="L10" s="3" t="e">
        <v>#VALUE!</v>
      </c>
      <c r="M10" s="3" t="str">
        <f>A11</f>
        <v xml:space="preserve"> Desayuno</v>
      </c>
      <c r="N10" s="3">
        <f>COUNTIF(A10,"*Desayuno*")+COUNTIF(A10,"*Almuerzo*")+COUNTIF(A10,"*Cena*")+COUNTIF(A10,"*Pasa Bocas*")+COUNTIF(A10,"*Total*")</f>
        <v>0</v>
      </c>
    </row>
    <row r="11" spans="1:14" hidden="1" x14ac:dyDescent="0.3">
      <c r="A11" s="3" t="s">
        <v>25</v>
      </c>
      <c r="B11" s="3">
        <v>535</v>
      </c>
      <c r="C11" s="3" t="s">
        <v>386</v>
      </c>
      <c r="D11" s="4">
        <v>6721</v>
      </c>
      <c r="E11" s="3" t="s">
        <v>387</v>
      </c>
      <c r="F11" s="3" t="s">
        <v>197</v>
      </c>
      <c r="G11" s="3" t="s">
        <v>388</v>
      </c>
      <c r="H11" s="3" t="s">
        <v>389</v>
      </c>
      <c r="I11" s="3">
        <v>570</v>
      </c>
      <c r="J11" s="3">
        <v>634</v>
      </c>
      <c r="K11" s="3">
        <v>623</v>
      </c>
      <c r="L11" s="3" t="e">
        <v>#VALUE!</v>
      </c>
      <c r="M11" s="3" t="str">
        <f t="shared" ref="M11:M64" si="0">A12</f>
        <v xml:space="preserve">  Falcon Proteína Vegetal Chocolate</v>
      </c>
      <c r="N11" s="3">
        <f t="shared" ref="N11:N64" si="1">COUNTIF(A11,"*Desayuno*")+COUNTIF(A11,"*Almuerzo*")+COUNTIF(A11,"*Cena*")+COUNTIF(A11,"*Pasa Bocas*")+COUNTIF(A11,"*Total*")</f>
        <v>1</v>
      </c>
    </row>
    <row r="12" spans="1:14" hidden="1" x14ac:dyDescent="0.3">
      <c r="A12" s="3" t="s">
        <v>31</v>
      </c>
      <c r="B12" s="3">
        <v>110</v>
      </c>
      <c r="C12" s="3">
        <v>1</v>
      </c>
      <c r="E12" s="3">
        <v>3</v>
      </c>
      <c r="F12" s="3">
        <v>2</v>
      </c>
      <c r="G12" s="3" t="s">
        <v>32</v>
      </c>
      <c r="H12" s="3">
        <v>22</v>
      </c>
      <c r="I12" s="3">
        <v>250</v>
      </c>
      <c r="L12" s="3" t="e">
        <v>#VALUE!</v>
      </c>
      <c r="M12" s="3" t="str">
        <f t="shared" si="0"/>
        <v xml:space="preserve">   1 porción, 30 g</v>
      </c>
      <c r="N12" s="3">
        <f t="shared" si="1"/>
        <v>0</v>
      </c>
    </row>
    <row r="13" spans="1:14" hidden="1" x14ac:dyDescent="0.3">
      <c r="A13" s="3" t="s">
        <v>33</v>
      </c>
      <c r="L13" s="3" t="e">
        <v>#VALUE!</v>
      </c>
      <c r="M13" s="3" t="str">
        <f t="shared" si="0"/>
        <v xml:space="preserve">  Plátano</v>
      </c>
      <c r="N13" s="3">
        <f t="shared" si="1"/>
        <v>0</v>
      </c>
    </row>
    <row r="14" spans="1:14" x14ac:dyDescent="0.3">
      <c r="A14" s="3" t="s">
        <v>42</v>
      </c>
      <c r="B14" s="3">
        <v>32</v>
      </c>
      <c r="C14" s="3" t="s">
        <v>43</v>
      </c>
      <c r="D14" s="3" t="s">
        <v>39</v>
      </c>
      <c r="E14" s="3" t="s">
        <v>44</v>
      </c>
      <c r="F14" s="3" t="s">
        <v>45</v>
      </c>
      <c r="G14" s="3" t="s">
        <v>46</v>
      </c>
      <c r="H14" s="3" t="s">
        <v>47</v>
      </c>
      <c r="I14" s="3">
        <v>0</v>
      </c>
      <c r="J14" s="3">
        <v>0</v>
      </c>
      <c r="K14" s="3">
        <v>127</v>
      </c>
      <c r="L14" s="3" t="e">
        <v>#VALUE!</v>
      </c>
      <c r="M14" s="3" t="str">
        <f t="shared" si="0"/>
        <v xml:space="preserve">   0.3 un/una mediano (18 cm - 20 cm de largo)</v>
      </c>
      <c r="N14" s="3">
        <f t="shared" si="1"/>
        <v>0</v>
      </c>
    </row>
    <row r="15" spans="1:14" hidden="1" x14ac:dyDescent="0.3">
      <c r="A15" s="3" t="s">
        <v>48</v>
      </c>
      <c r="L15" s="3" t="e">
        <v>#VALUE!</v>
      </c>
      <c r="M15" s="3" t="str">
        <f t="shared" si="0"/>
        <v xml:space="preserve">  Aceite de Oliva</v>
      </c>
      <c r="N15" s="3">
        <f t="shared" si="1"/>
        <v>0</v>
      </c>
    </row>
    <row r="16" spans="1:14" x14ac:dyDescent="0.3">
      <c r="A16" s="3" t="s">
        <v>390</v>
      </c>
      <c r="B16" s="3">
        <v>119</v>
      </c>
      <c r="C16" s="3" t="s">
        <v>391</v>
      </c>
      <c r="D16" s="4">
        <v>1864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 t="e">
        <v>#VALUE!</v>
      </c>
      <c r="M16" s="3" t="str">
        <f t="shared" si="0"/>
        <v xml:space="preserve">   1 cucharada</v>
      </c>
      <c r="N16" s="3">
        <f t="shared" si="1"/>
        <v>0</v>
      </c>
    </row>
    <row r="17" spans="1:14" hidden="1" x14ac:dyDescent="0.3">
      <c r="A17" s="3" t="s">
        <v>392</v>
      </c>
      <c r="L17" s="3" t="e">
        <v>#VALUE!</v>
      </c>
      <c r="M17" s="3" t="str">
        <f t="shared" si="0"/>
        <v xml:space="preserve">  Huevo</v>
      </c>
      <c r="N17" s="3">
        <f t="shared" si="1"/>
        <v>0</v>
      </c>
    </row>
    <row r="18" spans="1:14" x14ac:dyDescent="0.3">
      <c r="A18" s="3" t="s">
        <v>393</v>
      </c>
      <c r="B18" s="3">
        <v>220</v>
      </c>
      <c r="C18" s="3" t="s">
        <v>394</v>
      </c>
      <c r="D18" s="4">
        <v>4648</v>
      </c>
      <c r="E18" s="3" t="s">
        <v>40</v>
      </c>
      <c r="F18" s="3">
        <v>0</v>
      </c>
      <c r="G18" s="3" t="s">
        <v>40</v>
      </c>
      <c r="H18" s="3" t="s">
        <v>395</v>
      </c>
      <c r="I18" s="3">
        <v>210</v>
      </c>
      <c r="J18" s="3">
        <v>634</v>
      </c>
      <c r="K18" s="3">
        <v>201</v>
      </c>
      <c r="L18" s="3" t="e">
        <v>#VALUE!</v>
      </c>
      <c r="M18" s="3" t="str">
        <f t="shared" si="0"/>
        <v xml:space="preserve">   3 grandes</v>
      </c>
      <c r="N18" s="3">
        <f t="shared" si="1"/>
        <v>0</v>
      </c>
    </row>
    <row r="19" spans="1:14" hidden="1" x14ac:dyDescent="0.3">
      <c r="A19" s="3" t="s">
        <v>396</v>
      </c>
      <c r="L19" s="3" t="e">
        <v>#VALUE!</v>
      </c>
      <c r="M19" s="3" t="str">
        <f t="shared" si="0"/>
        <v xml:space="preserve">  Jitomate</v>
      </c>
      <c r="N19" s="3">
        <f t="shared" si="1"/>
        <v>0</v>
      </c>
    </row>
    <row r="20" spans="1:14" x14ac:dyDescent="0.3">
      <c r="A20" s="3" t="s">
        <v>397</v>
      </c>
      <c r="B20" s="3">
        <v>10</v>
      </c>
      <c r="C20" s="3" t="s">
        <v>78</v>
      </c>
      <c r="D20" s="3" t="s">
        <v>398</v>
      </c>
      <c r="E20" s="3" t="s">
        <v>399</v>
      </c>
      <c r="F20" s="3" t="s">
        <v>84</v>
      </c>
      <c r="G20" s="3" t="s">
        <v>400</v>
      </c>
      <c r="H20" s="3" t="s">
        <v>401</v>
      </c>
      <c r="I20" s="3">
        <v>4</v>
      </c>
      <c r="J20" s="3">
        <v>0</v>
      </c>
      <c r="K20" s="3">
        <v>113</v>
      </c>
      <c r="L20" s="3" t="e">
        <v>#VALUE!</v>
      </c>
      <c r="M20" s="3" t="str">
        <f t="shared" si="0"/>
        <v xml:space="preserve">   50 g</v>
      </c>
      <c r="N20" s="3">
        <f t="shared" si="1"/>
        <v>0</v>
      </c>
    </row>
    <row r="21" spans="1:14" hidden="1" x14ac:dyDescent="0.3">
      <c r="A21" s="3" t="s">
        <v>225</v>
      </c>
      <c r="L21" s="3" t="e">
        <v>#VALUE!</v>
      </c>
      <c r="M21" s="3" t="str">
        <f t="shared" si="0"/>
        <v xml:space="preserve">  Bolillo</v>
      </c>
      <c r="N21" s="3">
        <f t="shared" si="1"/>
        <v>0</v>
      </c>
    </row>
    <row r="22" spans="1:14" x14ac:dyDescent="0.3">
      <c r="A22" s="3" t="s">
        <v>34</v>
      </c>
      <c r="B22" s="3">
        <v>37</v>
      </c>
      <c r="C22" s="3" t="s">
        <v>35</v>
      </c>
      <c r="D22" s="3" t="s">
        <v>36</v>
      </c>
      <c r="E22" s="3" t="s">
        <v>37</v>
      </c>
      <c r="F22" s="3" t="s">
        <v>38</v>
      </c>
      <c r="G22" s="3" t="s">
        <v>39</v>
      </c>
      <c r="H22" s="3" t="s">
        <v>40</v>
      </c>
      <c r="I22" s="3">
        <v>82</v>
      </c>
      <c r="J22" s="3">
        <v>0</v>
      </c>
      <c r="K22" s="3">
        <v>15</v>
      </c>
      <c r="L22" s="3" t="e">
        <v>#VALUE!</v>
      </c>
      <c r="M22" s="3" t="str">
        <f t="shared" si="0"/>
        <v xml:space="preserve">   0.3 un/una mediano</v>
      </c>
      <c r="N22" s="3">
        <f t="shared" si="1"/>
        <v>0</v>
      </c>
    </row>
    <row r="23" spans="1:14" hidden="1" x14ac:dyDescent="0.3">
      <c r="A23" s="3" t="s">
        <v>41</v>
      </c>
      <c r="L23" s="3" t="e">
        <v>#VALUE!</v>
      </c>
      <c r="M23" s="3" t="str">
        <f t="shared" si="0"/>
        <v xml:space="preserve">  Espinacas</v>
      </c>
      <c r="N23" s="3">
        <f t="shared" si="1"/>
        <v>0</v>
      </c>
    </row>
    <row r="24" spans="1:14" x14ac:dyDescent="0.3">
      <c r="A24" s="3" t="s">
        <v>198</v>
      </c>
      <c r="B24" s="3">
        <v>7</v>
      </c>
      <c r="C24" s="3" t="s">
        <v>43</v>
      </c>
      <c r="D24" s="3" t="s">
        <v>199</v>
      </c>
      <c r="E24" s="3" t="s">
        <v>200</v>
      </c>
      <c r="F24" s="3" t="s">
        <v>201</v>
      </c>
      <c r="G24" s="3" t="s">
        <v>36</v>
      </c>
      <c r="H24" s="3" t="s">
        <v>202</v>
      </c>
      <c r="I24" s="3">
        <v>24</v>
      </c>
      <c r="J24" s="3">
        <v>0</v>
      </c>
      <c r="K24" s="3">
        <v>167</v>
      </c>
      <c r="L24" s="3" t="e">
        <v>#VALUE!</v>
      </c>
      <c r="M24" s="3" t="str">
        <f t="shared" si="0"/>
        <v xml:space="preserve">   1 taza</v>
      </c>
      <c r="N24" s="3">
        <f t="shared" si="1"/>
        <v>0</v>
      </c>
    </row>
    <row r="25" spans="1:14" hidden="1" x14ac:dyDescent="0.3">
      <c r="A25" s="3" t="s">
        <v>203</v>
      </c>
      <c r="L25" s="3" t="e">
        <v>#VALUE!</v>
      </c>
      <c r="M25" s="3" t="str">
        <f t="shared" si="0"/>
        <v xml:space="preserve"> Almuerzo</v>
      </c>
      <c r="N25" s="3">
        <f t="shared" si="1"/>
        <v>0</v>
      </c>
    </row>
    <row r="26" spans="1:14" hidden="1" x14ac:dyDescent="0.3">
      <c r="A26" s="3" t="s">
        <v>59</v>
      </c>
      <c r="B26" s="3">
        <v>590</v>
      </c>
      <c r="C26" s="3" t="s">
        <v>402</v>
      </c>
      <c r="D26" s="4">
        <v>3838</v>
      </c>
      <c r="E26" s="3" t="s">
        <v>403</v>
      </c>
      <c r="F26" s="3" t="s">
        <v>404</v>
      </c>
      <c r="G26" s="3" t="s">
        <v>405</v>
      </c>
      <c r="H26" s="3" t="s">
        <v>406</v>
      </c>
      <c r="I26" s="3">
        <v>526</v>
      </c>
      <c r="J26" s="3">
        <v>116</v>
      </c>
      <c r="K26" s="3">
        <v>2106</v>
      </c>
      <c r="L26" s="3" t="e">
        <v>#VALUE!</v>
      </c>
      <c r="M26" s="3" t="str">
        <f t="shared" si="0"/>
        <v xml:space="preserve">  Papayas</v>
      </c>
      <c r="N26" s="3">
        <f t="shared" si="1"/>
        <v>1</v>
      </c>
    </row>
    <row r="27" spans="1:14" x14ac:dyDescent="0.3">
      <c r="A27" s="3" t="s">
        <v>130</v>
      </c>
      <c r="B27" s="3">
        <v>82</v>
      </c>
      <c r="C27" s="3" t="s">
        <v>407</v>
      </c>
      <c r="D27" s="3" t="s">
        <v>98</v>
      </c>
      <c r="E27" s="3" t="s">
        <v>408</v>
      </c>
      <c r="F27" s="3" t="s">
        <v>409</v>
      </c>
      <c r="G27" s="3" t="s">
        <v>410</v>
      </c>
      <c r="H27" s="3" t="s">
        <v>411</v>
      </c>
      <c r="I27" s="3">
        <v>6</v>
      </c>
      <c r="J27" s="3">
        <v>0</v>
      </c>
      <c r="K27" s="3">
        <v>540</v>
      </c>
      <c r="L27" s="3" t="e">
        <v>#VALUE!</v>
      </c>
      <c r="M27" s="3" t="str">
        <f t="shared" si="0"/>
        <v xml:space="preserve">   1 1/2 tazas, cubitos</v>
      </c>
      <c r="N27" s="3">
        <f t="shared" si="1"/>
        <v>0</v>
      </c>
    </row>
    <row r="28" spans="1:14" hidden="1" x14ac:dyDescent="0.3">
      <c r="A28" s="3" t="s">
        <v>412</v>
      </c>
      <c r="L28" s="3" t="e">
        <v>#VALUE!</v>
      </c>
      <c r="M28" s="3" t="str">
        <f t="shared" si="0"/>
        <v xml:space="preserve">  Fresh Gourmet Crutones Sabor Italiano</v>
      </c>
      <c r="N28" s="3">
        <f t="shared" si="1"/>
        <v>0</v>
      </c>
    </row>
    <row r="29" spans="1:14" x14ac:dyDescent="0.3">
      <c r="A29" s="3" t="s">
        <v>413</v>
      </c>
      <c r="B29" s="3">
        <v>31</v>
      </c>
      <c r="C29" s="3" t="s">
        <v>77</v>
      </c>
      <c r="D29" s="3" t="s">
        <v>78</v>
      </c>
      <c r="E29" s="3" t="s">
        <v>79</v>
      </c>
      <c r="F29" s="3">
        <v>0</v>
      </c>
      <c r="G29" s="3" t="s">
        <v>80</v>
      </c>
      <c r="H29" s="3" t="s">
        <v>81</v>
      </c>
      <c r="I29" s="3">
        <v>80</v>
      </c>
      <c r="J29" s="3">
        <v>0</v>
      </c>
      <c r="K29" s="3">
        <v>0</v>
      </c>
      <c r="L29" s="3" t="e">
        <v>#VALUE!</v>
      </c>
      <c r="M29" s="3" t="str">
        <f t="shared" si="0"/>
        <v xml:space="preserve">   20 piezas, 7 g</v>
      </c>
      <c r="N29" s="3">
        <f t="shared" si="1"/>
        <v>0</v>
      </c>
    </row>
    <row r="30" spans="1:14" hidden="1" x14ac:dyDescent="0.3">
      <c r="A30" s="3" t="s">
        <v>82</v>
      </c>
      <c r="L30" s="3" t="e">
        <v>#VALUE!</v>
      </c>
      <c r="M30" s="3" t="str">
        <f t="shared" si="0"/>
        <v xml:space="preserve">  Pechuga de Pollo a la Plancha</v>
      </c>
      <c r="N30" s="3">
        <f t="shared" si="1"/>
        <v>0</v>
      </c>
    </row>
    <row r="31" spans="1:14" x14ac:dyDescent="0.3">
      <c r="A31" s="3" t="s">
        <v>71</v>
      </c>
      <c r="B31" s="3">
        <v>111</v>
      </c>
      <c r="C31" s="3" t="s">
        <v>72</v>
      </c>
      <c r="D31" s="3" t="s">
        <v>73</v>
      </c>
      <c r="E31" s="3">
        <v>0</v>
      </c>
      <c r="F31" s="3">
        <v>0</v>
      </c>
      <c r="G31" s="3">
        <v>0</v>
      </c>
      <c r="H31" s="3" t="s">
        <v>74</v>
      </c>
      <c r="I31" s="3">
        <v>149</v>
      </c>
      <c r="J31" s="3">
        <v>58</v>
      </c>
      <c r="K31" s="3">
        <v>222</v>
      </c>
      <c r="L31" s="3" t="e">
        <v>#VALUE!</v>
      </c>
      <c r="M31" s="3" t="str">
        <f t="shared" si="0"/>
        <v xml:space="preserve">   100 g</v>
      </c>
      <c r="N31" s="3">
        <f t="shared" si="1"/>
        <v>0</v>
      </c>
    </row>
    <row r="32" spans="1:14" hidden="1" x14ac:dyDescent="0.3">
      <c r="A32" s="3" t="s">
        <v>75</v>
      </c>
      <c r="L32" s="3" t="e">
        <v>#VALUE!</v>
      </c>
      <c r="M32" s="3" t="str">
        <f t="shared" si="0"/>
        <v xml:space="preserve">  Ensalada de Lechuga con Verduras Variadas (Incluidos los Tomates y/o Zanahorias)</v>
      </c>
      <c r="N32" s="3">
        <f t="shared" si="1"/>
        <v>0</v>
      </c>
    </row>
    <row r="33" spans="1:14" x14ac:dyDescent="0.3">
      <c r="A33" s="3" t="s">
        <v>86</v>
      </c>
      <c r="B33" s="3">
        <v>25</v>
      </c>
      <c r="C33" s="3" t="s">
        <v>87</v>
      </c>
      <c r="D33" s="3" t="s">
        <v>88</v>
      </c>
      <c r="E33" s="3" t="s">
        <v>60</v>
      </c>
      <c r="F33" s="3">
        <v>2</v>
      </c>
      <c r="G33" s="3" t="s">
        <v>89</v>
      </c>
      <c r="H33" s="3" t="s">
        <v>90</v>
      </c>
      <c r="I33" s="3">
        <v>28</v>
      </c>
      <c r="J33" s="3">
        <v>0</v>
      </c>
      <c r="K33" s="3">
        <v>291</v>
      </c>
      <c r="L33" s="3" t="e">
        <v>#VALUE!</v>
      </c>
      <c r="M33" s="3" t="str">
        <f t="shared" si="0"/>
        <v xml:space="preserve">   2 tazas</v>
      </c>
      <c r="N33" s="3">
        <f t="shared" si="1"/>
        <v>0</v>
      </c>
    </row>
    <row r="34" spans="1:14" hidden="1" x14ac:dyDescent="0.3">
      <c r="A34" s="3" t="s">
        <v>91</v>
      </c>
      <c r="L34" s="3" t="e">
        <v>#VALUE!</v>
      </c>
      <c r="M34" s="3" t="str">
        <f t="shared" si="0"/>
        <v xml:space="preserve">  Danone Yoghurt Natural sin Azúcar</v>
      </c>
      <c r="N34" s="3">
        <f t="shared" si="1"/>
        <v>0</v>
      </c>
    </row>
    <row r="35" spans="1:14" hidden="1" x14ac:dyDescent="0.3">
      <c r="A35" s="3" t="s">
        <v>414</v>
      </c>
      <c r="B35" s="3">
        <v>46</v>
      </c>
      <c r="C35" s="3" t="s">
        <v>66</v>
      </c>
      <c r="D35" s="3" t="s">
        <v>67</v>
      </c>
      <c r="E35" s="3" t="s">
        <v>68</v>
      </c>
      <c r="F35" s="3">
        <v>0</v>
      </c>
      <c r="G35" s="3" t="s">
        <v>68</v>
      </c>
      <c r="H35" s="3" t="s">
        <v>69</v>
      </c>
      <c r="L35" s="3" t="e">
        <v>#VALUE!</v>
      </c>
      <c r="M35" s="3" t="str">
        <f t="shared" si="0"/>
        <v xml:space="preserve">   1/2 x 1/2 taza, 62.5 g</v>
      </c>
      <c r="N35" s="3">
        <f t="shared" si="1"/>
        <v>0</v>
      </c>
    </row>
    <row r="36" spans="1:14" hidden="1" x14ac:dyDescent="0.3">
      <c r="A36" s="3" t="s">
        <v>70</v>
      </c>
      <c r="L36" s="3" t="e">
        <v>#VALUE!</v>
      </c>
      <c r="M36" s="3" t="str">
        <f t="shared" si="0"/>
        <v xml:space="preserve">  Papayas</v>
      </c>
      <c r="N36" s="3">
        <f t="shared" si="1"/>
        <v>0</v>
      </c>
    </row>
    <row r="37" spans="1:14" x14ac:dyDescent="0.3">
      <c r="A37" s="3" t="s">
        <v>130</v>
      </c>
      <c r="B37" s="3">
        <v>82</v>
      </c>
      <c r="C37" s="3" t="s">
        <v>407</v>
      </c>
      <c r="D37" s="3" t="s">
        <v>98</v>
      </c>
      <c r="E37" s="3" t="s">
        <v>408</v>
      </c>
      <c r="F37" s="3" t="s">
        <v>409</v>
      </c>
      <c r="G37" s="3" t="s">
        <v>410</v>
      </c>
      <c r="H37" s="3" t="s">
        <v>411</v>
      </c>
      <c r="I37" s="3">
        <v>6</v>
      </c>
      <c r="J37" s="3">
        <v>0</v>
      </c>
      <c r="K37" s="3">
        <v>540</v>
      </c>
      <c r="L37" s="3" t="e">
        <v>#VALUE!</v>
      </c>
      <c r="M37" s="3" t="str">
        <f t="shared" si="0"/>
        <v xml:space="preserve">   1 1/2 tazas, cubitos</v>
      </c>
      <c r="N37" s="3">
        <f t="shared" si="1"/>
        <v>0</v>
      </c>
    </row>
    <row r="38" spans="1:14" hidden="1" x14ac:dyDescent="0.3">
      <c r="A38" s="3" t="s">
        <v>412</v>
      </c>
      <c r="L38" s="3" t="e">
        <v>#VALUE!</v>
      </c>
      <c r="M38" s="3" t="str">
        <f t="shared" si="0"/>
        <v xml:space="preserve">  Fresh Gourmet Crutones Sabor Italiano</v>
      </c>
      <c r="N38" s="3">
        <f t="shared" si="1"/>
        <v>0</v>
      </c>
    </row>
    <row r="39" spans="1:14" x14ac:dyDescent="0.3">
      <c r="A39" s="3" t="s">
        <v>413</v>
      </c>
      <c r="B39" s="3">
        <v>31</v>
      </c>
      <c r="C39" s="3" t="s">
        <v>77</v>
      </c>
      <c r="D39" s="3" t="s">
        <v>78</v>
      </c>
      <c r="E39" s="3" t="s">
        <v>79</v>
      </c>
      <c r="F39" s="3">
        <v>0</v>
      </c>
      <c r="G39" s="3" t="s">
        <v>80</v>
      </c>
      <c r="H39" s="3" t="s">
        <v>81</v>
      </c>
      <c r="I39" s="3">
        <v>80</v>
      </c>
      <c r="J39" s="3">
        <v>0</v>
      </c>
      <c r="K39" s="3">
        <v>0</v>
      </c>
      <c r="L39" s="3" t="e">
        <v>#VALUE!</v>
      </c>
      <c r="M39" s="3" t="str">
        <f t="shared" si="0"/>
        <v xml:space="preserve">   20 piezas, 7 g</v>
      </c>
      <c r="N39" s="3">
        <f t="shared" si="1"/>
        <v>0</v>
      </c>
    </row>
    <row r="40" spans="1:14" hidden="1" x14ac:dyDescent="0.3">
      <c r="A40" s="3" t="s">
        <v>82</v>
      </c>
      <c r="L40" s="3" t="e">
        <v>#VALUE!</v>
      </c>
      <c r="M40" s="3" t="str">
        <f t="shared" si="0"/>
        <v xml:space="preserve">  Pechuga de Pollo a la Plancha</v>
      </c>
      <c r="N40" s="3">
        <f t="shared" si="1"/>
        <v>0</v>
      </c>
    </row>
    <row r="41" spans="1:14" x14ac:dyDescent="0.3">
      <c r="A41" s="3" t="s">
        <v>71</v>
      </c>
      <c r="B41" s="3">
        <v>111</v>
      </c>
      <c r="C41" s="3" t="s">
        <v>72</v>
      </c>
      <c r="D41" s="3" t="s">
        <v>73</v>
      </c>
      <c r="E41" s="3">
        <v>0</v>
      </c>
      <c r="F41" s="3">
        <v>0</v>
      </c>
      <c r="G41" s="3">
        <v>0</v>
      </c>
      <c r="H41" s="3" t="s">
        <v>74</v>
      </c>
      <c r="I41" s="3">
        <v>149</v>
      </c>
      <c r="J41" s="3">
        <v>58</v>
      </c>
      <c r="K41" s="3">
        <v>222</v>
      </c>
      <c r="L41" s="3" t="e">
        <v>#VALUE!</v>
      </c>
      <c r="M41" s="3" t="str">
        <f t="shared" si="0"/>
        <v xml:space="preserve">   100 g</v>
      </c>
      <c r="N41" s="3">
        <f t="shared" si="1"/>
        <v>0</v>
      </c>
    </row>
    <row r="42" spans="1:14" hidden="1" x14ac:dyDescent="0.3">
      <c r="A42" s="3" t="s">
        <v>75</v>
      </c>
      <c r="L42" s="3" t="e">
        <v>#VALUE!</v>
      </c>
      <c r="M42" s="3" t="str">
        <f t="shared" si="0"/>
        <v xml:space="preserve">  Ensalada de Lechuga con Verduras Variadas (Incluidos los Tomates y/o Zanahorias)</v>
      </c>
      <c r="N42" s="3">
        <f t="shared" si="1"/>
        <v>0</v>
      </c>
    </row>
    <row r="43" spans="1:14" x14ac:dyDescent="0.3">
      <c r="A43" s="3" t="s">
        <v>86</v>
      </c>
      <c r="B43" s="3">
        <v>25</v>
      </c>
      <c r="C43" s="3" t="s">
        <v>87</v>
      </c>
      <c r="D43" s="3" t="s">
        <v>88</v>
      </c>
      <c r="E43" s="3" t="s">
        <v>60</v>
      </c>
      <c r="F43" s="3">
        <v>2</v>
      </c>
      <c r="G43" s="3" t="s">
        <v>89</v>
      </c>
      <c r="H43" s="3" t="s">
        <v>90</v>
      </c>
      <c r="I43" s="3">
        <v>28</v>
      </c>
      <c r="J43" s="3">
        <v>0</v>
      </c>
      <c r="K43" s="3">
        <v>291</v>
      </c>
      <c r="L43" s="3" t="e">
        <v>#VALUE!</v>
      </c>
      <c r="M43" s="3" t="str">
        <f t="shared" si="0"/>
        <v xml:space="preserve">   2 tazas</v>
      </c>
      <c r="N43" s="3">
        <f t="shared" si="1"/>
        <v>0</v>
      </c>
    </row>
    <row r="44" spans="1:14" hidden="1" x14ac:dyDescent="0.3">
      <c r="A44" s="3" t="s">
        <v>91</v>
      </c>
      <c r="L44" s="3" t="e">
        <v>#VALUE!</v>
      </c>
      <c r="M44" s="3" t="str">
        <f t="shared" si="0"/>
        <v xml:space="preserve">  Danone Yoghurt Natural sin Azúcar</v>
      </c>
      <c r="N44" s="3">
        <f t="shared" si="1"/>
        <v>0</v>
      </c>
    </row>
    <row r="45" spans="1:14" hidden="1" x14ac:dyDescent="0.3">
      <c r="A45" s="3" t="s">
        <v>414</v>
      </c>
      <c r="B45" s="3">
        <v>46</v>
      </c>
      <c r="C45" s="3" t="s">
        <v>66</v>
      </c>
      <c r="D45" s="3" t="s">
        <v>67</v>
      </c>
      <c r="E45" s="3" t="s">
        <v>68</v>
      </c>
      <c r="F45" s="3">
        <v>0</v>
      </c>
      <c r="G45" s="3" t="s">
        <v>68</v>
      </c>
      <c r="H45" s="3" t="s">
        <v>69</v>
      </c>
      <c r="L45" s="3" t="e">
        <v>#VALUE!</v>
      </c>
      <c r="M45" s="3" t="str">
        <f t="shared" si="0"/>
        <v xml:space="preserve">   1/2 x 1/2 taza, 62.5 g</v>
      </c>
      <c r="N45" s="3">
        <f t="shared" si="1"/>
        <v>0</v>
      </c>
    </row>
    <row r="46" spans="1:14" hidden="1" x14ac:dyDescent="0.3">
      <c r="A46" s="3" t="s">
        <v>70</v>
      </c>
      <c r="L46" s="3" t="e">
        <v>#VALUE!</v>
      </c>
      <c r="M46" s="3" t="str">
        <f t="shared" si="0"/>
        <v xml:space="preserve"> Cena</v>
      </c>
      <c r="N46" s="3">
        <f t="shared" si="1"/>
        <v>0</v>
      </c>
    </row>
    <row r="47" spans="1:14" hidden="1" x14ac:dyDescent="0.3">
      <c r="A47" s="3" t="s">
        <v>106</v>
      </c>
      <c r="B47" s="3">
        <v>810</v>
      </c>
      <c r="C47" s="3" t="s">
        <v>415</v>
      </c>
      <c r="D47" s="4">
        <v>9702</v>
      </c>
      <c r="E47" s="3" t="s">
        <v>416</v>
      </c>
      <c r="F47" s="3" t="s">
        <v>417</v>
      </c>
      <c r="G47" s="3" t="s">
        <v>418</v>
      </c>
      <c r="H47" s="3" t="s">
        <v>419</v>
      </c>
      <c r="I47" s="3">
        <v>196</v>
      </c>
      <c r="J47" s="3">
        <v>48</v>
      </c>
      <c r="K47" s="3">
        <v>698</v>
      </c>
      <c r="L47" s="3" t="e">
        <v>#VALUE!</v>
      </c>
      <c r="M47" s="3" t="str">
        <f t="shared" si="0"/>
        <v xml:space="preserve">  Cinepolis Palomitas</v>
      </c>
      <c r="N47" s="3">
        <f t="shared" si="1"/>
        <v>1</v>
      </c>
    </row>
    <row r="48" spans="1:14" hidden="1" x14ac:dyDescent="0.3">
      <c r="A48" s="3" t="s">
        <v>420</v>
      </c>
      <c r="B48" s="3">
        <v>170</v>
      </c>
      <c r="C48" s="3" t="s">
        <v>421</v>
      </c>
      <c r="E48" s="3" t="s">
        <v>422</v>
      </c>
      <c r="H48" s="3" t="s">
        <v>222</v>
      </c>
      <c r="L48" s="3" t="e">
        <v>#VALUE!</v>
      </c>
      <c r="M48" s="3" t="str">
        <f t="shared" si="0"/>
        <v xml:space="preserve">   1/2 x 1 paquete </v>
      </c>
      <c r="N48" s="3">
        <f t="shared" si="1"/>
        <v>0</v>
      </c>
    </row>
    <row r="49" spans="1:14" hidden="1" x14ac:dyDescent="0.3">
      <c r="A49" s="3" t="s">
        <v>423</v>
      </c>
      <c r="L49" s="3" t="e">
        <v>#VALUE!</v>
      </c>
      <c r="M49" s="3" t="str">
        <f t="shared" si="0"/>
        <v xml:space="preserve">  La Huerta Fresas Congeladas</v>
      </c>
      <c r="N49" s="3">
        <f t="shared" si="1"/>
        <v>0</v>
      </c>
    </row>
    <row r="50" spans="1:14" hidden="1" x14ac:dyDescent="0.3">
      <c r="A50" s="3" t="s">
        <v>424</v>
      </c>
      <c r="B50" s="3">
        <v>18</v>
      </c>
      <c r="C50" s="3">
        <v>0</v>
      </c>
      <c r="D50" s="3">
        <v>0</v>
      </c>
      <c r="E50" s="3" t="s">
        <v>425</v>
      </c>
      <c r="F50" s="3">
        <v>1</v>
      </c>
      <c r="G50" s="3" t="s">
        <v>426</v>
      </c>
      <c r="H50" s="3">
        <v>0</v>
      </c>
      <c r="L50" s="3" t="e">
        <v>#VALUE!</v>
      </c>
      <c r="M50" s="3" t="str">
        <f t="shared" si="0"/>
        <v xml:space="preserve">   50 g</v>
      </c>
      <c r="N50" s="3">
        <f t="shared" si="1"/>
        <v>0</v>
      </c>
    </row>
    <row r="51" spans="1:14" hidden="1" x14ac:dyDescent="0.3">
      <c r="A51" s="3" t="s">
        <v>225</v>
      </c>
      <c r="L51" s="3" t="e">
        <v>#VALUE!</v>
      </c>
      <c r="M51" s="3" t="str">
        <f t="shared" si="0"/>
        <v xml:space="preserve">  Leche (Leche Entera)</v>
      </c>
      <c r="N51" s="3">
        <f t="shared" si="1"/>
        <v>0</v>
      </c>
    </row>
    <row r="52" spans="1:14" x14ac:dyDescent="0.3">
      <c r="A52" s="3" t="s">
        <v>149</v>
      </c>
      <c r="B52" s="3">
        <v>146</v>
      </c>
      <c r="C52" s="3" t="s">
        <v>205</v>
      </c>
      <c r="D52" s="4">
        <v>4551</v>
      </c>
      <c r="E52" s="3" t="s">
        <v>206</v>
      </c>
      <c r="F52" s="3">
        <v>0</v>
      </c>
      <c r="G52" s="3" t="s">
        <v>207</v>
      </c>
      <c r="H52" s="3" t="s">
        <v>208</v>
      </c>
      <c r="I52" s="3">
        <v>98</v>
      </c>
      <c r="J52" s="3">
        <v>24</v>
      </c>
      <c r="K52" s="3">
        <v>349</v>
      </c>
      <c r="L52" s="3" t="e">
        <v>#VALUE!</v>
      </c>
      <c r="M52" s="3" t="str">
        <f t="shared" si="0"/>
        <v xml:space="preserve">   1 taza</v>
      </c>
      <c r="N52" s="3">
        <f t="shared" si="1"/>
        <v>0</v>
      </c>
    </row>
    <row r="53" spans="1:14" hidden="1" x14ac:dyDescent="0.3">
      <c r="A53" s="3" t="s">
        <v>203</v>
      </c>
      <c r="L53" s="3" t="e">
        <v>#VALUE!</v>
      </c>
      <c r="M53" s="3" t="str">
        <f t="shared" si="0"/>
        <v xml:space="preserve">  Quaker Hojuelas de Avena Natural (30g)</v>
      </c>
      <c r="N53" s="3">
        <f t="shared" si="1"/>
        <v>0</v>
      </c>
    </row>
    <row r="54" spans="1:14" x14ac:dyDescent="0.3">
      <c r="A54" s="3" t="s">
        <v>427</v>
      </c>
      <c r="B54" s="3">
        <v>71</v>
      </c>
      <c r="C54" s="3" t="s">
        <v>120</v>
      </c>
      <c r="D54" s="3" t="s">
        <v>32</v>
      </c>
      <c r="E54" s="3" t="s">
        <v>191</v>
      </c>
      <c r="F54" s="3" t="s">
        <v>192</v>
      </c>
      <c r="G54" s="3" t="s">
        <v>78</v>
      </c>
      <c r="H54" s="3" t="s">
        <v>193</v>
      </c>
      <c r="I54" s="3">
        <v>0</v>
      </c>
      <c r="J54" s="3">
        <v>0</v>
      </c>
      <c r="L54" s="3" t="e">
        <v>#VALUE!</v>
      </c>
      <c r="M54" s="3" t="str">
        <f t="shared" si="0"/>
        <v xml:space="preserve">   1/2 taza, 30 g</v>
      </c>
      <c r="N54" s="3">
        <f t="shared" si="1"/>
        <v>0</v>
      </c>
    </row>
    <row r="55" spans="1:14" hidden="1" x14ac:dyDescent="0.3">
      <c r="A55" s="3" t="s">
        <v>194</v>
      </c>
      <c r="L55" s="3" t="e">
        <v>#VALUE!</v>
      </c>
      <c r="M55" s="3" t="str">
        <f t="shared" si="0"/>
        <v xml:space="preserve">  Cinepolis Palomitas</v>
      </c>
      <c r="N55" s="3">
        <f t="shared" si="1"/>
        <v>0</v>
      </c>
    </row>
    <row r="56" spans="1:14" hidden="1" x14ac:dyDescent="0.3">
      <c r="A56" s="3" t="s">
        <v>420</v>
      </c>
      <c r="B56" s="3">
        <v>170</v>
      </c>
      <c r="C56" s="3" t="s">
        <v>421</v>
      </c>
      <c r="E56" s="3" t="s">
        <v>422</v>
      </c>
      <c r="H56" s="3" t="s">
        <v>222</v>
      </c>
      <c r="L56" s="3" t="e">
        <v>#VALUE!</v>
      </c>
      <c r="M56" s="3" t="str">
        <f t="shared" si="0"/>
        <v xml:space="preserve">   1/2 x 1 paquete </v>
      </c>
      <c r="N56" s="3">
        <f t="shared" si="1"/>
        <v>0</v>
      </c>
    </row>
    <row r="57" spans="1:14" hidden="1" x14ac:dyDescent="0.3">
      <c r="A57" s="3" t="s">
        <v>423</v>
      </c>
      <c r="L57" s="3" t="e">
        <v>#VALUE!</v>
      </c>
      <c r="M57" s="3" t="str">
        <f t="shared" si="0"/>
        <v xml:space="preserve">  La Huerta Fresas Congeladas</v>
      </c>
      <c r="N57" s="3">
        <f t="shared" si="1"/>
        <v>0</v>
      </c>
    </row>
    <row r="58" spans="1:14" hidden="1" x14ac:dyDescent="0.3">
      <c r="A58" s="3" t="s">
        <v>424</v>
      </c>
      <c r="B58" s="3">
        <v>18</v>
      </c>
      <c r="C58" s="3">
        <v>0</v>
      </c>
      <c r="D58" s="3">
        <v>0</v>
      </c>
      <c r="E58" s="3" t="s">
        <v>425</v>
      </c>
      <c r="F58" s="3">
        <v>1</v>
      </c>
      <c r="G58" s="3" t="s">
        <v>426</v>
      </c>
      <c r="H58" s="3">
        <v>0</v>
      </c>
      <c r="L58" s="3" t="e">
        <v>#VALUE!</v>
      </c>
      <c r="M58" s="3" t="str">
        <f t="shared" si="0"/>
        <v xml:space="preserve">   50 g</v>
      </c>
      <c r="N58" s="3">
        <f t="shared" si="1"/>
        <v>0</v>
      </c>
    </row>
    <row r="59" spans="1:14" hidden="1" x14ac:dyDescent="0.3">
      <c r="A59" s="3" t="s">
        <v>225</v>
      </c>
      <c r="L59" s="3" t="e">
        <v>#VALUE!</v>
      </c>
      <c r="M59" s="3" t="str">
        <f t="shared" si="0"/>
        <v xml:space="preserve">  Leche (Leche Entera)</v>
      </c>
      <c r="N59" s="3">
        <f t="shared" si="1"/>
        <v>0</v>
      </c>
    </row>
    <row r="60" spans="1:14" x14ac:dyDescent="0.3">
      <c r="A60" s="3" t="s">
        <v>149</v>
      </c>
      <c r="B60" s="3">
        <v>146</v>
      </c>
      <c r="C60" s="3" t="s">
        <v>205</v>
      </c>
      <c r="D60" s="4">
        <v>4551</v>
      </c>
      <c r="E60" s="3" t="s">
        <v>206</v>
      </c>
      <c r="F60" s="3">
        <v>0</v>
      </c>
      <c r="G60" s="3" t="s">
        <v>207</v>
      </c>
      <c r="H60" s="3" t="s">
        <v>208</v>
      </c>
      <c r="I60" s="3">
        <v>98</v>
      </c>
      <c r="J60" s="3">
        <v>24</v>
      </c>
      <c r="K60" s="3">
        <v>349</v>
      </c>
      <c r="L60" s="3" t="e">
        <v>#VALUE!</v>
      </c>
      <c r="M60" s="3" t="str">
        <f t="shared" si="0"/>
        <v xml:space="preserve">   1 taza</v>
      </c>
      <c r="N60" s="3">
        <f t="shared" si="1"/>
        <v>0</v>
      </c>
    </row>
    <row r="61" spans="1:14" hidden="1" x14ac:dyDescent="0.3">
      <c r="A61" s="3" t="s">
        <v>203</v>
      </c>
      <c r="L61" s="3" t="e">
        <v>#VALUE!</v>
      </c>
      <c r="M61" s="3" t="str">
        <f t="shared" si="0"/>
        <v xml:space="preserve">  Quaker Hojuelas de Avena Natural (30g)</v>
      </c>
      <c r="N61" s="3">
        <f t="shared" si="1"/>
        <v>0</v>
      </c>
    </row>
    <row r="62" spans="1:14" x14ac:dyDescent="0.3">
      <c r="A62" s="3" t="s">
        <v>427</v>
      </c>
      <c r="B62" s="3">
        <v>71</v>
      </c>
      <c r="C62" s="3" t="s">
        <v>120</v>
      </c>
      <c r="D62" s="3" t="s">
        <v>32</v>
      </c>
      <c r="E62" s="3" t="s">
        <v>191</v>
      </c>
      <c r="F62" s="3" t="s">
        <v>192</v>
      </c>
      <c r="G62" s="3" t="s">
        <v>78</v>
      </c>
      <c r="H62" s="3" t="s">
        <v>193</v>
      </c>
      <c r="I62" s="3">
        <v>0</v>
      </c>
      <c r="J62" s="3">
        <v>0</v>
      </c>
      <c r="L62" s="3" t="e">
        <v>#VALUE!</v>
      </c>
      <c r="M62" s="3" t="str">
        <f t="shared" si="0"/>
        <v xml:space="preserve">   1/2 taza, 30 g</v>
      </c>
      <c r="N62" s="3">
        <f t="shared" si="1"/>
        <v>0</v>
      </c>
    </row>
    <row r="63" spans="1:14" hidden="1" x14ac:dyDescent="0.3">
      <c r="A63" s="3" t="s">
        <v>194</v>
      </c>
      <c r="L63" s="3" t="e">
        <v>#VALUE!</v>
      </c>
      <c r="M63" s="3" t="str">
        <f t="shared" si="0"/>
        <v xml:space="preserve"> Pasa Bocas / Otros</v>
      </c>
      <c r="N63" s="3">
        <f t="shared" si="1"/>
        <v>0</v>
      </c>
    </row>
    <row r="64" spans="1:14" hidden="1" x14ac:dyDescent="0.3">
      <c r="A64" s="3" t="s">
        <v>137</v>
      </c>
      <c r="L64" s="3" t="e">
        <v>#VALUE!</v>
      </c>
      <c r="M64" s="3">
        <f t="shared" si="0"/>
        <v>0</v>
      </c>
      <c r="N64" s="3">
        <f t="shared" si="1"/>
        <v>1</v>
      </c>
    </row>
  </sheetData>
  <autoFilter ref="A5:N64" xr:uid="{8150FB72-BF61-4299-9377-D508CEA8FDCE}">
    <filterColumn colId="9">
      <customFilters>
        <customFilter operator="notEqual" val=" "/>
      </customFilters>
    </filterColumn>
    <filterColumn colId="13">
      <filters>
        <filter val="0"/>
      </filters>
    </filterColumn>
  </autoFilter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807CD8-7001-47AD-8EBD-92583ED86DF1}">
  <sheetPr codeName="Hoja3" filterMode="1"/>
  <dimension ref="A1:N42"/>
  <sheetViews>
    <sheetView workbookViewId="0">
      <selection activeCell="N10" sqref="N10:N42"/>
    </sheetView>
  </sheetViews>
  <sheetFormatPr baseColWidth="10" defaultRowHeight="14.4" x14ac:dyDescent="0.3"/>
  <cols>
    <col min="1" max="16384" width="11.19921875" style="3"/>
  </cols>
  <sheetData>
    <row r="1" spans="1:14" x14ac:dyDescent="0.3">
      <c r="A1" s="3" t="s">
        <v>13</v>
      </c>
    </row>
    <row r="2" spans="1:14" x14ac:dyDescent="0.3">
      <c r="A2" s="3" t="s">
        <v>14</v>
      </c>
      <c r="B2" s="3" t="s">
        <v>15</v>
      </c>
    </row>
    <row r="3" spans="1:14" x14ac:dyDescent="0.3">
      <c r="A3" s="3" t="s">
        <v>13</v>
      </c>
    </row>
    <row r="5" spans="1:14" x14ac:dyDescent="0.3">
      <c r="A5" s="3" t="s">
        <v>13</v>
      </c>
    </row>
    <row r="6" spans="1:14" hidden="1" x14ac:dyDescent="0.3">
      <c r="A6" s="3" t="s">
        <v>16</v>
      </c>
    </row>
    <row r="7" spans="1:14" hidden="1" x14ac:dyDescent="0.3">
      <c r="A7" s="3" t="s">
        <v>13</v>
      </c>
    </row>
    <row r="8" spans="1:14" hidden="1" x14ac:dyDescent="0.3">
      <c r="A8" s="3" t="s">
        <v>0</v>
      </c>
      <c r="B8" s="3" t="s">
        <v>1</v>
      </c>
      <c r="C8" s="3" t="s">
        <v>2</v>
      </c>
      <c r="D8" s="3" t="s">
        <v>3</v>
      </c>
      <c r="E8" s="3" t="s">
        <v>4</v>
      </c>
      <c r="F8" s="3" t="s">
        <v>5</v>
      </c>
      <c r="G8" s="3" t="s">
        <v>17</v>
      </c>
      <c r="H8" s="3" t="s">
        <v>6</v>
      </c>
      <c r="I8" s="3" t="s">
        <v>7</v>
      </c>
      <c r="J8" s="3" t="s">
        <v>8</v>
      </c>
      <c r="K8" s="3" t="s">
        <v>9</v>
      </c>
      <c r="L8" s="3" t="s">
        <v>0</v>
      </c>
      <c r="M8" s="3" t="s">
        <v>10</v>
      </c>
      <c r="N8" s="3" t="s">
        <v>375</v>
      </c>
    </row>
    <row r="9" spans="1:14" hidden="1" x14ac:dyDescent="0.3">
      <c r="A9" s="3" t="s">
        <v>379</v>
      </c>
      <c r="B9" s="3" t="str">
        <f>MID(A9,FIND(" ",A9,1)+1,6)</f>
        <v>260502</v>
      </c>
      <c r="C9" s="3" t="str">
        <f>RIGHT(B9,2) &amp; "/" &amp; MID(B9,3,2) &amp; "/2026"</f>
        <v>02/05/2026</v>
      </c>
    </row>
    <row r="10" spans="1:14" x14ac:dyDescent="0.3">
      <c r="A10" s="3" t="s">
        <v>308</v>
      </c>
      <c r="B10" s="3">
        <v>1528</v>
      </c>
      <c r="C10" s="3" t="s">
        <v>309</v>
      </c>
      <c r="D10" s="4">
        <v>27069</v>
      </c>
      <c r="E10" s="3" t="s">
        <v>310</v>
      </c>
      <c r="F10" s="3" t="s">
        <v>311</v>
      </c>
      <c r="G10" s="3" t="s">
        <v>312</v>
      </c>
      <c r="H10" s="3" t="s">
        <v>313</v>
      </c>
      <c r="I10" s="3" t="s">
        <v>314</v>
      </c>
      <c r="J10" s="3">
        <v>524</v>
      </c>
      <c r="K10" s="3">
        <v>1628</v>
      </c>
      <c r="L10" s="3" t="s">
        <v>429</v>
      </c>
      <c r="M10" s="3" t="str">
        <f>A11</f>
        <v xml:space="preserve"> Desayuno</v>
      </c>
      <c r="N10" s="3">
        <f>COUNTIF(A10,"*Desayuno*")+COUNTIF(A10,"*Almuerzo*")+COUNTIF(A10,"*Cena*")+COUNTIF(A10,"*Pasa Bocas*")+COUNTIF(A10,"*Total*")</f>
        <v>0</v>
      </c>
    </row>
    <row r="11" spans="1:14" hidden="1" x14ac:dyDescent="0.3">
      <c r="A11" s="3" t="s">
        <v>25</v>
      </c>
      <c r="B11" s="3">
        <v>726</v>
      </c>
      <c r="C11" s="3" t="s">
        <v>315</v>
      </c>
      <c r="D11" s="4">
        <v>19793</v>
      </c>
      <c r="E11" s="3" t="s">
        <v>316</v>
      </c>
      <c r="F11" s="3" t="s">
        <v>317</v>
      </c>
      <c r="G11" s="3" t="s">
        <v>318</v>
      </c>
      <c r="H11" s="3" t="s">
        <v>319</v>
      </c>
      <c r="I11" s="3" t="s">
        <v>320</v>
      </c>
      <c r="J11" s="3">
        <v>400</v>
      </c>
      <c r="K11" s="3">
        <v>183</v>
      </c>
      <c r="L11" s="3" t="s">
        <v>429</v>
      </c>
      <c r="M11" s="3" t="str">
        <f t="shared" ref="M11:M42" si="0">A12</f>
        <v xml:space="preserve">  Huevo Revuelto</v>
      </c>
      <c r="N11" s="3">
        <f t="shared" ref="N11:N42" si="1">COUNTIF(A11,"*Desayuno*")+COUNTIF(A11,"*Almuerzo*")+COUNTIF(A11,"*Cena*")+COUNTIF(A11,"*Pasa Bocas*")+COUNTIF(A11,"*Total*")</f>
        <v>1</v>
      </c>
    </row>
    <row r="12" spans="1:14" x14ac:dyDescent="0.3">
      <c r="A12" s="3" t="s">
        <v>170</v>
      </c>
      <c r="B12" s="3">
        <v>199</v>
      </c>
      <c r="C12" s="3" t="s">
        <v>321</v>
      </c>
      <c r="D12" s="4">
        <v>5784</v>
      </c>
      <c r="E12" s="3" t="s">
        <v>153</v>
      </c>
      <c r="F12" s="3">
        <v>0</v>
      </c>
      <c r="G12" s="3" t="s">
        <v>322</v>
      </c>
      <c r="H12" s="3" t="s">
        <v>26</v>
      </c>
      <c r="I12" s="3">
        <v>211</v>
      </c>
      <c r="J12" s="3">
        <v>400</v>
      </c>
      <c r="K12" s="3">
        <v>138</v>
      </c>
      <c r="L12" s="3" t="s">
        <v>429</v>
      </c>
      <c r="M12" s="3" t="str">
        <f t="shared" si="0"/>
        <v xml:space="preserve">   2 huevos</v>
      </c>
      <c r="N12" s="3">
        <f t="shared" si="1"/>
        <v>0</v>
      </c>
    </row>
    <row r="13" spans="1:14" hidden="1" x14ac:dyDescent="0.3">
      <c r="A13" s="3" t="s">
        <v>323</v>
      </c>
      <c r="L13" s="3" t="s">
        <v>429</v>
      </c>
      <c r="M13" s="3" t="str">
        <f t="shared" si="0"/>
        <v xml:space="preserve">  Caperucita Queso Manchego</v>
      </c>
      <c r="N13" s="3">
        <f t="shared" si="1"/>
        <v>0</v>
      </c>
    </row>
    <row r="14" spans="1:14" hidden="1" x14ac:dyDescent="0.3">
      <c r="A14" s="3" t="s">
        <v>233</v>
      </c>
      <c r="B14" s="3">
        <v>322</v>
      </c>
      <c r="C14" s="3">
        <v>26</v>
      </c>
      <c r="D14" s="3" t="s">
        <v>324</v>
      </c>
      <c r="E14" s="3">
        <v>0</v>
      </c>
      <c r="H14" s="3">
        <v>22</v>
      </c>
      <c r="I14" s="3" t="s">
        <v>325</v>
      </c>
      <c r="L14" s="3" t="s">
        <v>429</v>
      </c>
      <c r="M14" s="3" t="str">
        <f t="shared" si="0"/>
        <v xml:space="preserve">   2 x 1 porción, 100 g</v>
      </c>
      <c r="N14" s="3">
        <f t="shared" si="1"/>
        <v>0</v>
      </c>
    </row>
    <row r="15" spans="1:14" hidden="1" x14ac:dyDescent="0.3">
      <c r="A15" s="3" t="s">
        <v>326</v>
      </c>
      <c r="L15" s="3" t="s">
        <v>429</v>
      </c>
      <c r="M15" s="3" t="str">
        <f t="shared" si="0"/>
        <v xml:space="preserve">  La Costeña Salsa Verde para Enchiladas</v>
      </c>
      <c r="N15" s="3">
        <f t="shared" si="1"/>
        <v>0</v>
      </c>
    </row>
    <row r="16" spans="1:14" hidden="1" x14ac:dyDescent="0.3">
      <c r="A16" s="3" t="s">
        <v>327</v>
      </c>
      <c r="B16" s="3">
        <v>25</v>
      </c>
      <c r="C16" s="3">
        <v>1</v>
      </c>
      <c r="D16" s="3">
        <v>1</v>
      </c>
      <c r="E16" s="3">
        <v>3</v>
      </c>
      <c r="F16" s="3">
        <v>1</v>
      </c>
      <c r="H16" s="3">
        <v>1</v>
      </c>
      <c r="I16" s="3">
        <v>878</v>
      </c>
      <c r="L16" s="3" t="s">
        <v>429</v>
      </c>
      <c r="M16" s="3" t="str">
        <f t="shared" si="0"/>
        <v xml:space="preserve">   100 ml</v>
      </c>
      <c r="N16" s="3">
        <f t="shared" si="1"/>
        <v>0</v>
      </c>
    </row>
    <row r="17" spans="1:14" hidden="1" x14ac:dyDescent="0.3">
      <c r="A17" s="3" t="s">
        <v>328</v>
      </c>
      <c r="L17" s="3" t="s">
        <v>429</v>
      </c>
      <c r="M17" s="3" t="str">
        <f t="shared" si="0"/>
        <v xml:space="preserve">  La Sierra Frijoles Negros Refritos</v>
      </c>
      <c r="N17" s="3">
        <f t="shared" si="1"/>
        <v>0</v>
      </c>
    </row>
    <row r="18" spans="1:14" x14ac:dyDescent="0.3">
      <c r="A18" s="3" t="s">
        <v>329</v>
      </c>
      <c r="B18" s="3">
        <v>128</v>
      </c>
      <c r="C18" s="3" t="s">
        <v>330</v>
      </c>
      <c r="D18" s="3" t="s">
        <v>331</v>
      </c>
      <c r="E18" s="3" t="s">
        <v>332</v>
      </c>
      <c r="F18" s="3" t="s">
        <v>68</v>
      </c>
      <c r="G18" s="3" t="s">
        <v>96</v>
      </c>
      <c r="H18" s="3" t="s">
        <v>333</v>
      </c>
      <c r="I18" s="3">
        <v>513</v>
      </c>
      <c r="J18" s="3">
        <v>0</v>
      </c>
      <c r="L18" s="3" t="s">
        <v>429</v>
      </c>
      <c r="M18" s="3" t="str">
        <f t="shared" si="0"/>
        <v xml:space="preserve">   1 porción, 130 g</v>
      </c>
      <c r="N18" s="3">
        <f t="shared" si="1"/>
        <v>0</v>
      </c>
    </row>
    <row r="19" spans="1:14" hidden="1" x14ac:dyDescent="0.3">
      <c r="A19" s="3" t="s">
        <v>105</v>
      </c>
      <c r="L19" s="3" t="s">
        <v>429</v>
      </c>
      <c r="M19" s="3" t="str">
        <f t="shared" si="0"/>
        <v xml:space="preserve">  Tortillas de Maíz</v>
      </c>
      <c r="N19" s="3">
        <f t="shared" si="1"/>
        <v>0</v>
      </c>
    </row>
    <row r="20" spans="1:14" x14ac:dyDescent="0.3">
      <c r="A20" s="3" t="s">
        <v>163</v>
      </c>
      <c r="B20" s="3">
        <v>52</v>
      </c>
      <c r="C20" s="3" t="s">
        <v>81</v>
      </c>
      <c r="D20" s="3" t="s">
        <v>164</v>
      </c>
      <c r="E20" s="3" t="s">
        <v>165</v>
      </c>
      <c r="F20" s="3" t="s">
        <v>166</v>
      </c>
      <c r="G20" s="3" t="s">
        <v>167</v>
      </c>
      <c r="H20" s="3" t="s">
        <v>168</v>
      </c>
      <c r="I20" s="3">
        <v>11</v>
      </c>
      <c r="J20" s="3">
        <v>0</v>
      </c>
      <c r="K20" s="3">
        <v>45</v>
      </c>
      <c r="L20" s="3" t="s">
        <v>429</v>
      </c>
      <c r="M20" s="3" t="str">
        <f t="shared" si="0"/>
        <v xml:space="preserve">   1 tortilla</v>
      </c>
      <c r="N20" s="3">
        <f t="shared" si="1"/>
        <v>0</v>
      </c>
    </row>
    <row r="21" spans="1:14" hidden="1" x14ac:dyDescent="0.3">
      <c r="A21" s="3" t="s">
        <v>169</v>
      </c>
      <c r="L21" s="3" t="s">
        <v>429</v>
      </c>
      <c r="M21" s="3" t="str">
        <f t="shared" si="0"/>
        <v xml:space="preserve"> Almuerzo</v>
      </c>
      <c r="N21" s="3">
        <f t="shared" si="1"/>
        <v>0</v>
      </c>
    </row>
    <row r="22" spans="1:14" hidden="1" x14ac:dyDescent="0.3">
      <c r="A22" s="3" t="s">
        <v>59</v>
      </c>
      <c r="B22" s="3">
        <v>802</v>
      </c>
      <c r="C22" s="3" t="s">
        <v>334</v>
      </c>
      <c r="D22" s="4">
        <v>7276</v>
      </c>
      <c r="E22" s="3" t="s">
        <v>335</v>
      </c>
      <c r="F22" s="3" t="s">
        <v>336</v>
      </c>
      <c r="G22" s="3" t="s">
        <v>337</v>
      </c>
      <c r="H22" s="3" t="s">
        <v>338</v>
      </c>
      <c r="I22" s="3" t="s">
        <v>339</v>
      </c>
      <c r="J22" s="3">
        <v>124</v>
      </c>
      <c r="K22" s="3">
        <v>1445</v>
      </c>
      <c r="L22" s="3" t="s">
        <v>429</v>
      </c>
      <c r="M22" s="3" t="str">
        <f t="shared" si="0"/>
        <v xml:space="preserve">  Camarones</v>
      </c>
      <c r="N22" s="3">
        <f t="shared" si="1"/>
        <v>1</v>
      </c>
    </row>
    <row r="23" spans="1:14" x14ac:dyDescent="0.3">
      <c r="A23" s="3" t="s">
        <v>340</v>
      </c>
      <c r="B23" s="3">
        <v>60</v>
      </c>
      <c r="C23" s="3" t="s">
        <v>341</v>
      </c>
      <c r="D23" s="3" t="s">
        <v>342</v>
      </c>
      <c r="E23" s="3" t="s">
        <v>343</v>
      </c>
      <c r="F23" s="3">
        <v>0</v>
      </c>
      <c r="G23" s="3">
        <v>0</v>
      </c>
      <c r="H23" s="3" t="s">
        <v>344</v>
      </c>
      <c r="I23" s="3">
        <v>257</v>
      </c>
      <c r="J23" s="3">
        <v>87</v>
      </c>
      <c r="K23" s="3">
        <v>74</v>
      </c>
      <c r="L23" s="3" t="s">
        <v>429</v>
      </c>
      <c r="M23" s="3" t="str">
        <f t="shared" si="0"/>
        <v xml:space="preserve">   7 camarones</v>
      </c>
      <c r="N23" s="3">
        <f t="shared" si="1"/>
        <v>0</v>
      </c>
    </row>
    <row r="24" spans="1:14" hidden="1" x14ac:dyDescent="0.3">
      <c r="A24" s="3" t="s">
        <v>345</v>
      </c>
      <c r="L24" s="3" t="s">
        <v>429</v>
      </c>
      <c r="M24" s="3" t="str">
        <f t="shared" si="0"/>
        <v xml:space="preserve">  Aguacate</v>
      </c>
      <c r="N24" s="3">
        <f t="shared" si="1"/>
        <v>0</v>
      </c>
    </row>
    <row r="25" spans="1:14" x14ac:dyDescent="0.3">
      <c r="A25" s="3" t="s">
        <v>276</v>
      </c>
      <c r="B25" s="3">
        <v>144</v>
      </c>
      <c r="C25" s="3" t="s">
        <v>346</v>
      </c>
      <c r="D25" s="4">
        <v>1913</v>
      </c>
      <c r="E25" s="3" t="s">
        <v>347</v>
      </c>
      <c r="F25" s="3">
        <v>6</v>
      </c>
      <c r="G25" s="3" t="s">
        <v>348</v>
      </c>
      <c r="H25" s="3" t="s">
        <v>349</v>
      </c>
      <c r="I25" s="3">
        <v>6</v>
      </c>
      <c r="J25" s="3">
        <v>0</v>
      </c>
      <c r="K25" s="3">
        <v>436</v>
      </c>
      <c r="L25" s="3" t="s">
        <v>429</v>
      </c>
      <c r="M25" s="3" t="str">
        <f t="shared" si="0"/>
        <v xml:space="preserve">   9 tajadas</v>
      </c>
      <c r="N25" s="3">
        <f t="shared" si="1"/>
        <v>0</v>
      </c>
    </row>
    <row r="26" spans="1:14" hidden="1" x14ac:dyDescent="0.3">
      <c r="A26" s="3" t="s">
        <v>350</v>
      </c>
      <c r="L26" s="3" t="s">
        <v>429</v>
      </c>
      <c r="M26" s="3" t="str">
        <f t="shared" si="0"/>
        <v xml:space="preserve">  Ceviche de Pescado</v>
      </c>
      <c r="N26" s="3">
        <f t="shared" si="1"/>
        <v>0</v>
      </c>
    </row>
    <row r="27" spans="1:14" x14ac:dyDescent="0.3">
      <c r="A27" s="3" t="s">
        <v>351</v>
      </c>
      <c r="B27" s="3">
        <v>84</v>
      </c>
      <c r="C27" s="3" t="s">
        <v>352</v>
      </c>
      <c r="D27" s="3" t="s">
        <v>353</v>
      </c>
      <c r="E27" s="3" t="s">
        <v>354</v>
      </c>
      <c r="F27" s="3" t="s">
        <v>84</v>
      </c>
      <c r="G27" s="3" t="s">
        <v>125</v>
      </c>
      <c r="H27" s="3" t="s">
        <v>355</v>
      </c>
      <c r="I27" s="3">
        <v>158</v>
      </c>
      <c r="J27" s="3">
        <v>25</v>
      </c>
      <c r="K27" s="3">
        <v>362</v>
      </c>
      <c r="L27" s="3" t="s">
        <v>429</v>
      </c>
      <c r="M27" s="3" t="str">
        <f t="shared" si="0"/>
        <v xml:space="preserve">   1/2 un/una taza</v>
      </c>
      <c r="N27" s="3">
        <f t="shared" si="1"/>
        <v>0</v>
      </c>
    </row>
    <row r="28" spans="1:14" hidden="1" x14ac:dyDescent="0.3">
      <c r="A28" s="3" t="s">
        <v>58</v>
      </c>
      <c r="L28" s="3" t="s">
        <v>429</v>
      </c>
      <c r="M28" s="3" t="str">
        <f t="shared" si="0"/>
        <v xml:space="preserve">  Doña Jovita Marlin</v>
      </c>
      <c r="N28" s="3">
        <f t="shared" si="1"/>
        <v>0</v>
      </c>
    </row>
    <row r="29" spans="1:14" hidden="1" x14ac:dyDescent="0.3">
      <c r="A29" s="3" t="s">
        <v>356</v>
      </c>
      <c r="B29" s="3">
        <v>59</v>
      </c>
      <c r="C29" s="3" t="s">
        <v>84</v>
      </c>
      <c r="E29" s="3" t="s">
        <v>96</v>
      </c>
      <c r="H29" s="3" t="s">
        <v>357</v>
      </c>
      <c r="L29" s="3" t="s">
        <v>429</v>
      </c>
      <c r="M29" s="3" t="str">
        <f t="shared" si="0"/>
        <v xml:space="preserve">   50 g</v>
      </c>
      <c r="N29" s="3">
        <f t="shared" si="1"/>
        <v>0</v>
      </c>
    </row>
    <row r="30" spans="1:14" hidden="1" x14ac:dyDescent="0.3">
      <c r="A30" s="3" t="s">
        <v>225</v>
      </c>
      <c r="L30" s="3" t="s">
        <v>429</v>
      </c>
      <c r="M30" s="3" t="str">
        <f t="shared" si="0"/>
        <v xml:space="preserve">  Milpa Real Tostadas de Maiz</v>
      </c>
      <c r="N30" s="3">
        <f t="shared" si="1"/>
        <v>0</v>
      </c>
    </row>
    <row r="31" spans="1:14" x14ac:dyDescent="0.3">
      <c r="A31" s="3" t="s">
        <v>358</v>
      </c>
      <c r="B31" s="3">
        <v>153</v>
      </c>
      <c r="C31" s="3">
        <v>9</v>
      </c>
      <c r="D31" s="3" t="s">
        <v>67</v>
      </c>
      <c r="E31" s="3" t="s">
        <v>359</v>
      </c>
      <c r="F31" s="3" t="s">
        <v>349</v>
      </c>
      <c r="G31" s="3" t="s">
        <v>32</v>
      </c>
      <c r="H31" s="3" t="s">
        <v>349</v>
      </c>
      <c r="I31" s="3">
        <v>294</v>
      </c>
      <c r="J31" s="3">
        <v>0</v>
      </c>
      <c r="K31" s="3">
        <v>0</v>
      </c>
      <c r="L31" s="3" t="s">
        <v>429</v>
      </c>
      <c r="M31" s="3" t="str">
        <f t="shared" si="0"/>
        <v xml:space="preserve">   3 x 1 pieza, 36 g</v>
      </c>
      <c r="N31" s="3">
        <f t="shared" si="1"/>
        <v>0</v>
      </c>
    </row>
    <row r="32" spans="1:14" hidden="1" x14ac:dyDescent="0.3">
      <c r="A32" s="3" t="s">
        <v>360</v>
      </c>
      <c r="L32" s="3" t="s">
        <v>429</v>
      </c>
      <c r="M32" s="3" t="str">
        <f t="shared" si="0"/>
        <v xml:space="preserve">  Capuchino</v>
      </c>
      <c r="N32" s="3">
        <f t="shared" si="1"/>
        <v>0</v>
      </c>
    </row>
    <row r="33" spans="1:14" x14ac:dyDescent="0.3">
      <c r="A33" s="3" t="s">
        <v>302</v>
      </c>
      <c r="B33" s="3">
        <v>74</v>
      </c>
      <c r="C33" s="3" t="s">
        <v>303</v>
      </c>
      <c r="D33" s="4">
        <v>2273</v>
      </c>
      <c r="E33" s="3" t="s">
        <v>304</v>
      </c>
      <c r="F33" s="3" t="s">
        <v>131</v>
      </c>
      <c r="G33" s="3" t="s">
        <v>305</v>
      </c>
      <c r="H33" s="3" t="s">
        <v>306</v>
      </c>
      <c r="I33" s="3">
        <v>50</v>
      </c>
      <c r="J33" s="3">
        <v>12</v>
      </c>
      <c r="K33" s="3">
        <v>233</v>
      </c>
      <c r="L33" s="3" t="s">
        <v>429</v>
      </c>
      <c r="M33" s="3" t="str">
        <f t="shared" si="0"/>
        <v xml:space="preserve">   1 taza (240 ml)</v>
      </c>
      <c r="N33" s="3">
        <f t="shared" si="1"/>
        <v>0</v>
      </c>
    </row>
    <row r="34" spans="1:14" hidden="1" x14ac:dyDescent="0.3">
      <c r="A34" s="3" t="s">
        <v>159</v>
      </c>
      <c r="L34" s="3" t="s">
        <v>429</v>
      </c>
      <c r="M34" s="3" t="str">
        <f t="shared" si="0"/>
        <v xml:space="preserve">  Ruffles Queso</v>
      </c>
      <c r="N34" s="3">
        <f t="shared" si="1"/>
        <v>0</v>
      </c>
    </row>
    <row r="35" spans="1:14" x14ac:dyDescent="0.3">
      <c r="A35" s="3" t="s">
        <v>361</v>
      </c>
      <c r="B35" s="3">
        <v>75</v>
      </c>
      <c r="C35" s="3" t="s">
        <v>362</v>
      </c>
      <c r="D35" s="3" t="s">
        <v>135</v>
      </c>
      <c r="E35" s="3" t="s">
        <v>363</v>
      </c>
      <c r="F35" s="3" t="s">
        <v>84</v>
      </c>
      <c r="G35" s="3" t="s">
        <v>38</v>
      </c>
      <c r="H35" s="3" t="s">
        <v>135</v>
      </c>
      <c r="I35" s="3" t="s">
        <v>364</v>
      </c>
      <c r="J35" s="3">
        <v>0</v>
      </c>
      <c r="K35" s="3">
        <v>0</v>
      </c>
      <c r="L35" s="3" t="s">
        <v>429</v>
      </c>
      <c r="M35" s="3" t="str">
        <f t="shared" si="0"/>
        <v xml:space="preserve">   1/2 x 1 porción, 15 g</v>
      </c>
      <c r="N35" s="3">
        <f t="shared" si="1"/>
        <v>0</v>
      </c>
    </row>
    <row r="36" spans="1:14" hidden="1" x14ac:dyDescent="0.3">
      <c r="A36" s="3" t="s">
        <v>365</v>
      </c>
      <c r="L36" s="3" t="s">
        <v>429</v>
      </c>
      <c r="M36" s="3" t="str">
        <f t="shared" si="0"/>
        <v xml:space="preserve">  Sandía</v>
      </c>
      <c r="N36" s="3">
        <f t="shared" si="1"/>
        <v>0</v>
      </c>
    </row>
    <row r="37" spans="1:14" x14ac:dyDescent="0.3">
      <c r="A37" s="3" t="s">
        <v>245</v>
      </c>
      <c r="B37" s="3">
        <v>91</v>
      </c>
      <c r="C37" s="3" t="s">
        <v>366</v>
      </c>
      <c r="D37" s="3" t="s">
        <v>367</v>
      </c>
      <c r="E37" s="3" t="s">
        <v>368</v>
      </c>
      <c r="F37" s="3" t="s">
        <v>67</v>
      </c>
      <c r="G37" s="3" t="s">
        <v>369</v>
      </c>
      <c r="H37" s="3" t="s">
        <v>370</v>
      </c>
      <c r="I37" s="3">
        <v>3</v>
      </c>
      <c r="J37" s="3">
        <v>0</v>
      </c>
      <c r="K37" s="3">
        <v>340</v>
      </c>
      <c r="L37" s="3" t="s">
        <v>429</v>
      </c>
      <c r="M37" s="3" t="str">
        <f t="shared" si="0"/>
        <v xml:space="preserve">   2 tazas</v>
      </c>
      <c r="N37" s="3">
        <f t="shared" si="1"/>
        <v>0</v>
      </c>
    </row>
    <row r="38" spans="1:14" hidden="1" x14ac:dyDescent="0.3">
      <c r="A38" s="3" t="s">
        <v>91</v>
      </c>
      <c r="L38" s="3" t="s">
        <v>429</v>
      </c>
      <c r="M38" s="3" t="str">
        <f t="shared" si="0"/>
        <v xml:space="preserve">  Milpa Real Totopos de Maiz</v>
      </c>
      <c r="N38" s="3">
        <f t="shared" si="1"/>
        <v>0</v>
      </c>
    </row>
    <row r="39" spans="1:14" hidden="1" x14ac:dyDescent="0.3">
      <c r="A39" s="3" t="s">
        <v>371</v>
      </c>
      <c r="B39" s="3">
        <v>62</v>
      </c>
      <c r="C39" s="3">
        <v>4</v>
      </c>
      <c r="D39" s="3" t="s">
        <v>84</v>
      </c>
      <c r="E39" s="3" t="s">
        <v>372</v>
      </c>
      <c r="F39" s="3">
        <v>1</v>
      </c>
      <c r="G39" s="3" t="s">
        <v>201</v>
      </c>
      <c r="H39" s="3" t="s">
        <v>373</v>
      </c>
      <c r="I39" s="3">
        <v>22</v>
      </c>
      <c r="L39" s="3" t="s">
        <v>429</v>
      </c>
      <c r="M39" s="3" t="str">
        <f t="shared" si="0"/>
        <v xml:space="preserve">   1/2 x 1 porción, 15 g</v>
      </c>
      <c r="N39" s="3">
        <f t="shared" si="1"/>
        <v>0</v>
      </c>
    </row>
    <row r="40" spans="1:14" hidden="1" x14ac:dyDescent="0.3">
      <c r="A40" s="3" t="s">
        <v>365</v>
      </c>
      <c r="L40" s="3" t="s">
        <v>429</v>
      </c>
      <c r="M40" s="3" t="str">
        <f t="shared" si="0"/>
        <v xml:space="preserve"> Cena</v>
      </c>
      <c r="N40" s="3">
        <f t="shared" si="1"/>
        <v>0</v>
      </c>
    </row>
    <row r="41" spans="1:14" hidden="1" x14ac:dyDescent="0.3">
      <c r="A41" s="3" t="s">
        <v>106</v>
      </c>
      <c r="L41" s="3" t="s">
        <v>429</v>
      </c>
      <c r="M41" s="3" t="str">
        <f t="shared" si="0"/>
        <v xml:space="preserve"> Pasa Bocas / Otros</v>
      </c>
      <c r="N41" s="3">
        <f t="shared" si="1"/>
        <v>1</v>
      </c>
    </row>
    <row r="42" spans="1:14" hidden="1" x14ac:dyDescent="0.3">
      <c r="A42" s="3" t="s">
        <v>137</v>
      </c>
      <c r="L42" s="3" t="s">
        <v>429</v>
      </c>
      <c r="M42" s="3">
        <f t="shared" si="0"/>
        <v>0</v>
      </c>
      <c r="N42" s="3">
        <f t="shared" si="1"/>
        <v>1</v>
      </c>
    </row>
  </sheetData>
  <autoFilter ref="A5:N42" xr:uid="{A4807CD8-7001-47AD-8EBD-92583ED86DF1}">
    <filterColumn colId="9">
      <customFilters>
        <customFilter operator="notEqual" val=" "/>
      </customFilters>
    </filterColumn>
    <filterColumn colId="13">
      <filters>
        <filter val="0"/>
      </filters>
    </filterColumn>
  </autoFilter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B576F-A12C-420B-8088-EA79BB91756C}">
  <sheetPr codeName="Hoja4" filterMode="1"/>
  <dimension ref="A1:N42"/>
  <sheetViews>
    <sheetView workbookViewId="0">
      <selection activeCell="N10" sqref="N10:N42"/>
    </sheetView>
  </sheetViews>
  <sheetFormatPr baseColWidth="10" defaultRowHeight="14.4" x14ac:dyDescent="0.3"/>
  <cols>
    <col min="1" max="16384" width="11.19921875" style="3"/>
  </cols>
  <sheetData>
    <row r="1" spans="1:14" x14ac:dyDescent="0.3">
      <c r="A1" s="3" t="s">
        <v>13</v>
      </c>
    </row>
    <row r="2" spans="1:14" x14ac:dyDescent="0.3">
      <c r="A2" s="3" t="s">
        <v>14</v>
      </c>
      <c r="B2" s="3" t="s">
        <v>15</v>
      </c>
    </row>
    <row r="3" spans="1:14" x14ac:dyDescent="0.3">
      <c r="A3" s="3" t="s">
        <v>13</v>
      </c>
    </row>
    <row r="5" spans="1:14" x14ac:dyDescent="0.3">
      <c r="A5" s="3" t="s">
        <v>13</v>
      </c>
    </row>
    <row r="6" spans="1:14" hidden="1" x14ac:dyDescent="0.3">
      <c r="A6" s="3" t="s">
        <v>16</v>
      </c>
    </row>
    <row r="7" spans="1:14" hidden="1" x14ac:dyDescent="0.3">
      <c r="A7" s="3" t="s">
        <v>13</v>
      </c>
    </row>
    <row r="8" spans="1:14" hidden="1" x14ac:dyDescent="0.3">
      <c r="A8" s="3" t="s">
        <v>0</v>
      </c>
      <c r="B8" s="3" t="s">
        <v>1</v>
      </c>
      <c r="C8" s="3" t="s">
        <v>2</v>
      </c>
      <c r="D8" s="3" t="s">
        <v>3</v>
      </c>
      <c r="E8" s="3" t="s">
        <v>4</v>
      </c>
      <c r="F8" s="3" t="s">
        <v>5</v>
      </c>
      <c r="G8" s="3" t="s">
        <v>17</v>
      </c>
      <c r="H8" s="3" t="s">
        <v>6</v>
      </c>
      <c r="I8" s="3" t="s">
        <v>7</v>
      </c>
      <c r="J8" s="3" t="s">
        <v>8</v>
      </c>
      <c r="K8" s="3" t="s">
        <v>9</v>
      </c>
      <c r="L8" s="3" t="s">
        <v>0</v>
      </c>
      <c r="M8" s="3" t="s">
        <v>10</v>
      </c>
      <c r="N8" s="3" t="s">
        <v>375</v>
      </c>
    </row>
    <row r="9" spans="1:14" hidden="1" x14ac:dyDescent="0.3">
      <c r="A9" s="3" t="s">
        <v>378</v>
      </c>
      <c r="B9" s="3" t="str">
        <f>MID(A9,FIND(" ",A9,1)+1,6)</f>
        <v>260501</v>
      </c>
      <c r="C9" s="3" t="str">
        <f>RIGHT(B9,2) &amp; "/" &amp; MID(B9,3,2) &amp; "/2026"</f>
        <v>01/05/2026</v>
      </c>
    </row>
    <row r="10" spans="1:14" x14ac:dyDescent="0.3">
      <c r="A10" s="3" t="s">
        <v>251</v>
      </c>
      <c r="B10" s="3">
        <v>1449</v>
      </c>
      <c r="C10" s="3" t="s">
        <v>252</v>
      </c>
      <c r="D10" s="4">
        <v>21578</v>
      </c>
      <c r="E10" s="3" t="s">
        <v>253</v>
      </c>
      <c r="F10" s="3" t="s">
        <v>254</v>
      </c>
      <c r="G10" s="3" t="s">
        <v>255</v>
      </c>
      <c r="H10" s="3" t="s">
        <v>256</v>
      </c>
      <c r="I10" s="3" t="s">
        <v>257</v>
      </c>
      <c r="J10" s="3">
        <v>164</v>
      </c>
      <c r="K10" s="3">
        <v>1795</v>
      </c>
      <c r="L10" s="3" t="s">
        <v>430</v>
      </c>
      <c r="M10" s="3" t="str">
        <f>A11</f>
        <v xml:space="preserve"> Desayuno</v>
      </c>
      <c r="N10" s="3">
        <f>COUNTIF(A10,"*Desayuno*")+COUNTIF(A10,"*Almuerzo*")+COUNTIF(A10,"*Cena*")+COUNTIF(A10,"*Pasa Bocas*")+COUNTIF(A10,"*Total*")</f>
        <v>0</v>
      </c>
    </row>
    <row r="11" spans="1:14" hidden="1" x14ac:dyDescent="0.3">
      <c r="A11" s="3" t="s">
        <v>25</v>
      </c>
      <c r="B11" s="3">
        <v>748</v>
      </c>
      <c r="C11" s="3" t="s">
        <v>258</v>
      </c>
      <c r="D11" s="4">
        <v>15943</v>
      </c>
      <c r="E11" s="3" t="s">
        <v>259</v>
      </c>
      <c r="F11" s="3" t="s">
        <v>260</v>
      </c>
      <c r="G11" s="3" t="s">
        <v>261</v>
      </c>
      <c r="H11" s="3" t="s">
        <v>262</v>
      </c>
      <c r="I11" s="3" t="s">
        <v>263</v>
      </c>
      <c r="J11" s="3">
        <v>74</v>
      </c>
      <c r="K11" s="3">
        <v>902</v>
      </c>
      <c r="L11" s="3" t="s">
        <v>430</v>
      </c>
      <c r="M11" s="3" t="str">
        <f t="shared" ref="M11:M42" si="0">A12</f>
        <v xml:space="preserve">  Nopales</v>
      </c>
      <c r="N11" s="3">
        <f t="shared" ref="N11:N42" si="1">COUNTIF(A11,"*Desayuno*")+COUNTIF(A11,"*Almuerzo*")+COUNTIF(A11,"*Cena*")+COUNTIF(A11,"*Pasa Bocas*")+COUNTIF(A11,"*Total*")</f>
        <v>1</v>
      </c>
    </row>
    <row r="12" spans="1:14" x14ac:dyDescent="0.3">
      <c r="A12" s="3" t="s">
        <v>264</v>
      </c>
      <c r="B12" s="3">
        <v>8</v>
      </c>
      <c r="C12" s="3" t="s">
        <v>39</v>
      </c>
      <c r="D12" s="3" t="s">
        <v>265</v>
      </c>
      <c r="E12" s="3" t="s">
        <v>266</v>
      </c>
      <c r="F12" s="3" t="s">
        <v>267</v>
      </c>
      <c r="G12" s="3" t="s">
        <v>35</v>
      </c>
      <c r="H12" s="3" t="s">
        <v>268</v>
      </c>
      <c r="I12" s="3">
        <v>10</v>
      </c>
      <c r="J12" s="3">
        <v>0</v>
      </c>
      <c r="K12" s="3">
        <v>128</v>
      </c>
      <c r="L12" s="3" t="s">
        <v>430</v>
      </c>
      <c r="M12" s="3" t="str">
        <f t="shared" si="0"/>
        <v xml:space="preserve">   50 g</v>
      </c>
      <c r="N12" s="3">
        <f t="shared" si="1"/>
        <v>0</v>
      </c>
    </row>
    <row r="13" spans="1:14" hidden="1" x14ac:dyDescent="0.3">
      <c r="A13" s="3" t="s">
        <v>225</v>
      </c>
      <c r="L13" s="3" t="s">
        <v>430</v>
      </c>
      <c r="M13" s="3" t="str">
        <f t="shared" si="0"/>
        <v xml:space="preserve">  Guacamole</v>
      </c>
      <c r="N13" s="3">
        <f t="shared" si="1"/>
        <v>0</v>
      </c>
    </row>
    <row r="14" spans="1:14" x14ac:dyDescent="0.3">
      <c r="A14" s="3" t="s">
        <v>269</v>
      </c>
      <c r="B14" s="3">
        <v>69</v>
      </c>
      <c r="C14" s="3" t="s">
        <v>270</v>
      </c>
      <c r="D14" s="3" t="s">
        <v>271</v>
      </c>
      <c r="E14" s="3" t="s">
        <v>272</v>
      </c>
      <c r="F14" s="3" t="s">
        <v>273</v>
      </c>
      <c r="G14" s="3" t="s">
        <v>274</v>
      </c>
      <c r="H14" s="3" t="s">
        <v>202</v>
      </c>
      <c r="I14" s="3">
        <v>65</v>
      </c>
      <c r="J14" s="3">
        <v>0</v>
      </c>
      <c r="K14" s="3">
        <v>208</v>
      </c>
      <c r="L14" s="3" t="s">
        <v>430</v>
      </c>
      <c r="M14" s="3" t="str">
        <f t="shared" si="0"/>
        <v xml:space="preserve">   3 cucharadas</v>
      </c>
      <c r="N14" s="3">
        <f t="shared" si="1"/>
        <v>0</v>
      </c>
    </row>
    <row r="15" spans="1:14" hidden="1" x14ac:dyDescent="0.3">
      <c r="A15" s="3" t="s">
        <v>275</v>
      </c>
      <c r="L15" s="3" t="s">
        <v>430</v>
      </c>
      <c r="M15" s="3" t="str">
        <f t="shared" si="0"/>
        <v xml:space="preserve">  Aguacate</v>
      </c>
      <c r="N15" s="3">
        <f t="shared" si="1"/>
        <v>0</v>
      </c>
    </row>
    <row r="16" spans="1:14" x14ac:dyDescent="0.3">
      <c r="A16" s="3" t="s">
        <v>276</v>
      </c>
      <c r="B16" s="3">
        <v>32</v>
      </c>
      <c r="C16" s="3" t="s">
        <v>172</v>
      </c>
      <c r="D16" s="3" t="s">
        <v>277</v>
      </c>
      <c r="E16" s="3" t="s">
        <v>278</v>
      </c>
      <c r="F16" s="3" t="s">
        <v>120</v>
      </c>
      <c r="G16" s="3" t="s">
        <v>36</v>
      </c>
      <c r="H16" s="3" t="s">
        <v>38</v>
      </c>
      <c r="I16" s="3">
        <v>1</v>
      </c>
      <c r="J16" s="3">
        <v>0</v>
      </c>
      <c r="K16" s="3">
        <v>97</v>
      </c>
      <c r="L16" s="3" t="s">
        <v>430</v>
      </c>
      <c r="M16" s="3" t="str">
        <f t="shared" si="0"/>
        <v xml:space="preserve">   2 tajadas</v>
      </c>
      <c r="N16" s="3">
        <f t="shared" si="1"/>
        <v>0</v>
      </c>
    </row>
    <row r="17" spans="1:14" hidden="1" x14ac:dyDescent="0.3">
      <c r="A17" s="3" t="s">
        <v>279</v>
      </c>
      <c r="L17" s="3" t="s">
        <v>430</v>
      </c>
      <c r="M17" s="3" t="str">
        <f t="shared" si="0"/>
        <v xml:space="preserve">  Carnitas</v>
      </c>
      <c r="N17" s="3">
        <f t="shared" si="1"/>
        <v>0</v>
      </c>
    </row>
    <row r="18" spans="1:14" x14ac:dyDescent="0.3">
      <c r="A18" s="3" t="s">
        <v>280</v>
      </c>
      <c r="B18" s="3">
        <v>284</v>
      </c>
      <c r="C18" s="3" t="s">
        <v>281</v>
      </c>
      <c r="D18" s="4">
        <v>8254</v>
      </c>
      <c r="E18" s="3" t="s">
        <v>282</v>
      </c>
      <c r="F18" s="3" t="s">
        <v>201</v>
      </c>
      <c r="G18" s="3" t="s">
        <v>36</v>
      </c>
      <c r="H18" s="3" t="s">
        <v>283</v>
      </c>
      <c r="I18" s="3">
        <v>336</v>
      </c>
      <c r="J18" s="3">
        <v>74</v>
      </c>
      <c r="K18" s="3">
        <v>297</v>
      </c>
      <c r="L18" s="3" t="s">
        <v>430</v>
      </c>
      <c r="M18" s="3" t="str">
        <f t="shared" si="0"/>
        <v xml:space="preserve">   150 g</v>
      </c>
      <c r="N18" s="3">
        <f t="shared" si="1"/>
        <v>0</v>
      </c>
    </row>
    <row r="19" spans="1:14" hidden="1" x14ac:dyDescent="0.3">
      <c r="A19" s="3" t="s">
        <v>284</v>
      </c>
      <c r="L19" s="3" t="s">
        <v>430</v>
      </c>
      <c r="M19" s="3" t="str">
        <f t="shared" si="0"/>
        <v xml:space="preserve">  Tortillas de Maíz</v>
      </c>
      <c r="N19" s="3">
        <f t="shared" si="1"/>
        <v>0</v>
      </c>
    </row>
    <row r="20" spans="1:14" x14ac:dyDescent="0.3">
      <c r="A20" s="3" t="s">
        <v>163</v>
      </c>
      <c r="B20" s="3">
        <v>52</v>
      </c>
      <c r="C20" s="3" t="s">
        <v>81</v>
      </c>
      <c r="D20" s="3" t="s">
        <v>164</v>
      </c>
      <c r="E20" s="3" t="s">
        <v>165</v>
      </c>
      <c r="F20" s="3" t="s">
        <v>166</v>
      </c>
      <c r="G20" s="3" t="s">
        <v>167</v>
      </c>
      <c r="H20" s="3" t="s">
        <v>168</v>
      </c>
      <c r="I20" s="3">
        <v>11</v>
      </c>
      <c r="J20" s="3">
        <v>0</v>
      </c>
      <c r="K20" s="3">
        <v>45</v>
      </c>
      <c r="L20" s="3" t="s">
        <v>430</v>
      </c>
      <c r="M20" s="3" t="str">
        <f t="shared" si="0"/>
        <v xml:space="preserve">   1 tortilla</v>
      </c>
      <c r="N20" s="3">
        <f t="shared" si="1"/>
        <v>0</v>
      </c>
    </row>
    <row r="21" spans="1:14" hidden="1" x14ac:dyDescent="0.3">
      <c r="A21" s="3" t="s">
        <v>169</v>
      </c>
      <c r="L21" s="3" t="s">
        <v>430</v>
      </c>
      <c r="M21" s="3" t="str">
        <f t="shared" si="0"/>
        <v xml:space="preserve">  Falcon Proteína Vegetal Chocolate</v>
      </c>
      <c r="N21" s="3">
        <f t="shared" si="1"/>
        <v>0</v>
      </c>
    </row>
    <row r="22" spans="1:14" hidden="1" x14ac:dyDescent="0.3">
      <c r="A22" s="3" t="s">
        <v>31</v>
      </c>
      <c r="B22" s="3">
        <v>110</v>
      </c>
      <c r="C22" s="3">
        <v>1</v>
      </c>
      <c r="E22" s="3">
        <v>3</v>
      </c>
      <c r="F22" s="3">
        <v>2</v>
      </c>
      <c r="G22" s="3" t="s">
        <v>32</v>
      </c>
      <c r="H22" s="3">
        <v>22</v>
      </c>
      <c r="I22" s="3">
        <v>250</v>
      </c>
      <c r="L22" s="3" t="s">
        <v>430</v>
      </c>
      <c r="M22" s="3" t="str">
        <f t="shared" si="0"/>
        <v xml:space="preserve">   1 porción, 30 g</v>
      </c>
      <c r="N22" s="3">
        <f t="shared" si="1"/>
        <v>0</v>
      </c>
    </row>
    <row r="23" spans="1:14" hidden="1" x14ac:dyDescent="0.3">
      <c r="A23" s="3" t="s">
        <v>33</v>
      </c>
      <c r="L23" s="3" t="s">
        <v>430</v>
      </c>
      <c r="M23" s="3" t="str">
        <f t="shared" si="0"/>
        <v xml:space="preserve">  Caperucita Queso Manchego</v>
      </c>
      <c r="N23" s="3">
        <f t="shared" si="1"/>
        <v>0</v>
      </c>
    </row>
    <row r="24" spans="1:14" hidden="1" x14ac:dyDescent="0.3">
      <c r="A24" s="3" t="s">
        <v>233</v>
      </c>
      <c r="B24" s="3">
        <v>161</v>
      </c>
      <c r="C24" s="3">
        <v>13</v>
      </c>
      <c r="D24" s="3" t="s">
        <v>234</v>
      </c>
      <c r="E24" s="3">
        <v>0</v>
      </c>
      <c r="H24" s="3">
        <v>11</v>
      </c>
      <c r="I24" s="3" t="s">
        <v>47</v>
      </c>
      <c r="L24" s="3" t="s">
        <v>430</v>
      </c>
      <c r="M24" s="3" t="str">
        <f t="shared" si="0"/>
        <v xml:space="preserve">   1 porción, 50 g</v>
      </c>
      <c r="N24" s="3">
        <f t="shared" si="1"/>
        <v>0</v>
      </c>
    </row>
    <row r="25" spans="1:14" hidden="1" x14ac:dyDescent="0.3">
      <c r="A25" s="3" t="s">
        <v>235</v>
      </c>
      <c r="L25" s="3" t="s">
        <v>430</v>
      </c>
      <c r="M25" s="3" t="str">
        <f t="shared" si="0"/>
        <v xml:space="preserve">  Plátano</v>
      </c>
      <c r="N25" s="3">
        <f t="shared" si="1"/>
        <v>0</v>
      </c>
    </row>
    <row r="26" spans="1:14" x14ac:dyDescent="0.3">
      <c r="A26" s="3" t="s">
        <v>42</v>
      </c>
      <c r="B26" s="3">
        <v>32</v>
      </c>
      <c r="C26" s="3" t="s">
        <v>43</v>
      </c>
      <c r="D26" s="3" t="s">
        <v>39</v>
      </c>
      <c r="E26" s="3" t="s">
        <v>44</v>
      </c>
      <c r="F26" s="3" t="s">
        <v>45</v>
      </c>
      <c r="G26" s="3" t="s">
        <v>46</v>
      </c>
      <c r="H26" s="3" t="s">
        <v>47</v>
      </c>
      <c r="I26" s="3">
        <v>0</v>
      </c>
      <c r="J26" s="3">
        <v>0</v>
      </c>
      <c r="K26" s="3">
        <v>127</v>
      </c>
      <c r="L26" s="3" t="s">
        <v>430</v>
      </c>
      <c r="M26" s="3" t="str">
        <f t="shared" si="0"/>
        <v xml:space="preserve">   0.3 un/una mediano (18 cm - 20 cm de largo)</v>
      </c>
      <c r="N26" s="3">
        <f t="shared" si="1"/>
        <v>0</v>
      </c>
    </row>
    <row r="27" spans="1:14" hidden="1" x14ac:dyDescent="0.3">
      <c r="A27" s="3" t="s">
        <v>48</v>
      </c>
      <c r="L27" s="3" t="s">
        <v>430</v>
      </c>
      <c r="M27" s="3" t="str">
        <f t="shared" si="0"/>
        <v xml:space="preserve"> Almuerzo</v>
      </c>
      <c r="N27" s="3">
        <f t="shared" si="1"/>
        <v>0</v>
      </c>
    </row>
    <row r="28" spans="1:14" hidden="1" x14ac:dyDescent="0.3">
      <c r="A28" s="3" t="s">
        <v>59</v>
      </c>
      <c r="B28" s="3">
        <v>689</v>
      </c>
      <c r="C28" s="3" t="s">
        <v>285</v>
      </c>
      <c r="D28" s="4">
        <v>5635</v>
      </c>
      <c r="E28" s="3" t="s">
        <v>286</v>
      </c>
      <c r="F28" s="3" t="s">
        <v>109</v>
      </c>
      <c r="G28" s="3" t="s">
        <v>287</v>
      </c>
      <c r="H28" s="3" t="s">
        <v>288</v>
      </c>
      <c r="I28" s="3">
        <v>429</v>
      </c>
      <c r="J28" s="3">
        <v>90</v>
      </c>
      <c r="K28" s="3">
        <v>893</v>
      </c>
      <c r="L28" s="3" t="s">
        <v>430</v>
      </c>
      <c r="M28" s="3" t="str">
        <f t="shared" si="0"/>
        <v xml:space="preserve">  Bistec de Res</v>
      </c>
      <c r="N28" s="3">
        <f t="shared" si="1"/>
        <v>1</v>
      </c>
    </row>
    <row r="29" spans="1:14" x14ac:dyDescent="0.3">
      <c r="A29" s="3" t="s">
        <v>289</v>
      </c>
      <c r="B29" s="3">
        <v>223</v>
      </c>
      <c r="C29" s="3" t="s">
        <v>290</v>
      </c>
      <c r="D29" s="3" t="s">
        <v>291</v>
      </c>
      <c r="E29" s="3">
        <v>0</v>
      </c>
      <c r="F29" s="3">
        <v>0</v>
      </c>
      <c r="G29" s="3">
        <v>0</v>
      </c>
      <c r="H29" s="3" t="s">
        <v>292</v>
      </c>
      <c r="I29" s="3">
        <v>94</v>
      </c>
      <c r="J29" s="3">
        <v>78</v>
      </c>
      <c r="K29" s="3">
        <v>564</v>
      </c>
      <c r="L29" s="3" t="s">
        <v>430</v>
      </c>
      <c r="M29" s="3" t="str">
        <f t="shared" si="0"/>
        <v xml:space="preserve">   165 g</v>
      </c>
      <c r="N29" s="3">
        <f t="shared" si="1"/>
        <v>0</v>
      </c>
    </row>
    <row r="30" spans="1:14" hidden="1" x14ac:dyDescent="0.3">
      <c r="A30" s="3" t="s">
        <v>293</v>
      </c>
      <c r="L30" s="3" t="s">
        <v>430</v>
      </c>
      <c r="M30" s="3" t="str">
        <f t="shared" si="0"/>
        <v xml:space="preserve">  Cinepolis Palomitas (Grande)</v>
      </c>
      <c r="N30" s="3">
        <f t="shared" si="1"/>
        <v>0</v>
      </c>
    </row>
    <row r="31" spans="1:14" hidden="1" x14ac:dyDescent="0.3">
      <c r="A31" s="3" t="s">
        <v>112</v>
      </c>
      <c r="B31" s="3">
        <v>215</v>
      </c>
      <c r="C31" s="3">
        <v>10</v>
      </c>
      <c r="E31" s="3">
        <v>28</v>
      </c>
      <c r="F31" s="3" t="s">
        <v>113</v>
      </c>
      <c r="H31" s="3" t="s">
        <v>114</v>
      </c>
      <c r="L31" s="3" t="s">
        <v>430</v>
      </c>
      <c r="M31" s="3" t="str">
        <f t="shared" si="0"/>
        <v xml:space="preserve">   0.2 x 1 porción (31 g)</v>
      </c>
      <c r="N31" s="3">
        <f t="shared" si="1"/>
        <v>0</v>
      </c>
    </row>
    <row r="32" spans="1:14" hidden="1" x14ac:dyDescent="0.3">
      <c r="A32" s="3" t="s">
        <v>294</v>
      </c>
      <c r="L32" s="3" t="s">
        <v>430</v>
      </c>
      <c r="M32" s="3" t="str">
        <f t="shared" si="0"/>
        <v xml:space="preserve">  Bolillo</v>
      </c>
      <c r="N32" s="3">
        <f t="shared" si="1"/>
        <v>0</v>
      </c>
    </row>
    <row r="33" spans="1:14" x14ac:dyDescent="0.3">
      <c r="A33" s="3" t="s">
        <v>34</v>
      </c>
      <c r="B33" s="3">
        <v>125</v>
      </c>
      <c r="C33" s="3" t="s">
        <v>295</v>
      </c>
      <c r="D33" s="3" t="s">
        <v>296</v>
      </c>
      <c r="E33" s="3" t="s">
        <v>297</v>
      </c>
      <c r="F33" s="3" t="s">
        <v>298</v>
      </c>
      <c r="G33" s="3" t="s">
        <v>299</v>
      </c>
      <c r="H33" s="3" t="s">
        <v>300</v>
      </c>
      <c r="I33" s="3">
        <v>274</v>
      </c>
      <c r="J33" s="3">
        <v>0</v>
      </c>
      <c r="K33" s="3">
        <v>51</v>
      </c>
      <c r="L33" s="3" t="s">
        <v>430</v>
      </c>
      <c r="M33" s="3" t="str">
        <f t="shared" si="0"/>
        <v xml:space="preserve">   1 mediano</v>
      </c>
      <c r="N33" s="3">
        <f t="shared" si="1"/>
        <v>0</v>
      </c>
    </row>
    <row r="34" spans="1:14" hidden="1" x14ac:dyDescent="0.3">
      <c r="A34" s="3" t="s">
        <v>301</v>
      </c>
      <c r="L34" s="3" t="s">
        <v>430</v>
      </c>
      <c r="M34" s="3" t="str">
        <f t="shared" si="0"/>
        <v xml:space="preserve">  Tortillas de Maíz</v>
      </c>
      <c r="N34" s="3">
        <f t="shared" si="1"/>
        <v>0</v>
      </c>
    </row>
    <row r="35" spans="1:14" x14ac:dyDescent="0.3">
      <c r="A35" s="3" t="s">
        <v>163</v>
      </c>
      <c r="B35" s="3">
        <v>52</v>
      </c>
      <c r="C35" s="3" t="s">
        <v>81</v>
      </c>
      <c r="D35" s="3" t="s">
        <v>164</v>
      </c>
      <c r="E35" s="3" t="s">
        <v>165</v>
      </c>
      <c r="F35" s="3" t="s">
        <v>166</v>
      </c>
      <c r="G35" s="3" t="s">
        <v>167</v>
      </c>
      <c r="H35" s="3" t="s">
        <v>168</v>
      </c>
      <c r="I35" s="3">
        <v>11</v>
      </c>
      <c r="J35" s="3">
        <v>0</v>
      </c>
      <c r="K35" s="3">
        <v>45</v>
      </c>
      <c r="L35" s="3" t="s">
        <v>430</v>
      </c>
      <c r="M35" s="3" t="str">
        <f t="shared" si="0"/>
        <v xml:space="preserve">   1 tortilla</v>
      </c>
      <c r="N35" s="3">
        <f t="shared" si="1"/>
        <v>0</v>
      </c>
    </row>
    <row r="36" spans="1:14" hidden="1" x14ac:dyDescent="0.3">
      <c r="A36" s="3" t="s">
        <v>169</v>
      </c>
      <c r="L36" s="3" t="s">
        <v>430</v>
      </c>
      <c r="M36" s="3" t="str">
        <f t="shared" si="0"/>
        <v xml:space="preserve">  Capuchino</v>
      </c>
      <c r="N36" s="3">
        <f t="shared" si="1"/>
        <v>0</v>
      </c>
    </row>
    <row r="37" spans="1:14" x14ac:dyDescent="0.3">
      <c r="A37" s="3" t="s">
        <v>302</v>
      </c>
      <c r="B37" s="3">
        <v>74</v>
      </c>
      <c r="C37" s="3" t="s">
        <v>303</v>
      </c>
      <c r="D37" s="4">
        <v>2273</v>
      </c>
      <c r="E37" s="3" t="s">
        <v>304</v>
      </c>
      <c r="F37" s="3" t="s">
        <v>131</v>
      </c>
      <c r="G37" s="3" t="s">
        <v>305</v>
      </c>
      <c r="H37" s="3" t="s">
        <v>306</v>
      </c>
      <c r="I37" s="3">
        <v>50</v>
      </c>
      <c r="J37" s="3">
        <v>12</v>
      </c>
      <c r="K37" s="3">
        <v>233</v>
      </c>
      <c r="L37" s="3" t="s">
        <v>430</v>
      </c>
      <c r="M37" s="3" t="str">
        <f t="shared" si="0"/>
        <v xml:space="preserve">   1 taza (240 ml)</v>
      </c>
      <c r="N37" s="3">
        <f t="shared" si="1"/>
        <v>0</v>
      </c>
    </row>
    <row r="38" spans="1:14" hidden="1" x14ac:dyDescent="0.3">
      <c r="A38" s="3" t="s">
        <v>159</v>
      </c>
      <c r="L38" s="3" t="s">
        <v>430</v>
      </c>
      <c r="M38" s="3" t="str">
        <f t="shared" si="0"/>
        <v xml:space="preserve"> Cena</v>
      </c>
      <c r="N38" s="3">
        <f t="shared" si="1"/>
        <v>0</v>
      </c>
    </row>
    <row r="39" spans="1:14" hidden="1" x14ac:dyDescent="0.3">
      <c r="A39" s="3" t="s">
        <v>106</v>
      </c>
      <c r="B39" s="3">
        <v>12</v>
      </c>
      <c r="C39" s="3">
        <v>0</v>
      </c>
      <c r="D39" s="3">
        <v>0</v>
      </c>
      <c r="E39" s="3">
        <v>1</v>
      </c>
      <c r="F39" s="3">
        <v>0</v>
      </c>
      <c r="G39" s="3">
        <v>0</v>
      </c>
      <c r="H39" s="3">
        <v>2</v>
      </c>
      <c r="I39" s="3">
        <v>218</v>
      </c>
      <c r="J39" s="3">
        <v>0</v>
      </c>
      <c r="L39" s="3" t="s">
        <v>430</v>
      </c>
      <c r="M39" s="3" t="str">
        <f t="shared" si="0"/>
        <v xml:space="preserve">  Pronto Gelatina Light Sabor Uva</v>
      </c>
      <c r="N39" s="3">
        <f t="shared" si="1"/>
        <v>1</v>
      </c>
    </row>
    <row r="40" spans="1:14" x14ac:dyDescent="0.3">
      <c r="A40" s="3" t="s">
        <v>307</v>
      </c>
      <c r="B40" s="3">
        <v>12</v>
      </c>
      <c r="C40" s="3">
        <v>0</v>
      </c>
      <c r="D40" s="3">
        <v>0</v>
      </c>
      <c r="E40" s="3">
        <v>1</v>
      </c>
      <c r="F40" s="3">
        <v>0</v>
      </c>
      <c r="G40" s="3">
        <v>0</v>
      </c>
      <c r="H40" s="3">
        <v>2</v>
      </c>
      <c r="I40" s="3">
        <v>218</v>
      </c>
      <c r="J40" s="3">
        <v>0</v>
      </c>
      <c r="L40" s="3" t="s">
        <v>430</v>
      </c>
      <c r="M40" s="3" t="str">
        <f t="shared" si="0"/>
        <v xml:space="preserve">   100 g</v>
      </c>
      <c r="N40" s="3">
        <f t="shared" si="1"/>
        <v>0</v>
      </c>
    </row>
    <row r="41" spans="1:14" hidden="1" x14ac:dyDescent="0.3">
      <c r="A41" s="3" t="s">
        <v>75</v>
      </c>
      <c r="L41" s="3" t="s">
        <v>430</v>
      </c>
      <c r="M41" s="3" t="str">
        <f t="shared" si="0"/>
        <v xml:space="preserve"> Pasa Bocas / Otros</v>
      </c>
      <c r="N41" s="3">
        <f t="shared" si="1"/>
        <v>0</v>
      </c>
    </row>
    <row r="42" spans="1:14" hidden="1" x14ac:dyDescent="0.3">
      <c r="A42" s="3" t="s">
        <v>137</v>
      </c>
      <c r="L42" s="3" t="s">
        <v>430</v>
      </c>
      <c r="M42" s="3">
        <f t="shared" si="0"/>
        <v>0</v>
      </c>
      <c r="N42" s="3">
        <f t="shared" si="1"/>
        <v>1</v>
      </c>
    </row>
  </sheetData>
  <autoFilter ref="A5:N42" xr:uid="{91AB576F-A12C-420B-8088-EA79BB91756C}">
    <filterColumn colId="9">
      <customFilters>
        <customFilter operator="notEqual" val=" "/>
      </customFilters>
    </filterColumn>
    <filterColumn colId="13">
      <filters>
        <filter val="0"/>
      </filters>
    </filterColumn>
  </autoFilter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29D12-DA88-474D-9DA5-9980545C7360}">
  <sheetPr codeName="Hoja5" filterMode="1"/>
  <dimension ref="A1:N54"/>
  <sheetViews>
    <sheetView workbookViewId="0">
      <selection activeCell="N10" sqref="N10:N54"/>
    </sheetView>
  </sheetViews>
  <sheetFormatPr baseColWidth="10" defaultRowHeight="14.4" x14ac:dyDescent="0.3"/>
  <cols>
    <col min="1" max="16384" width="11.19921875" style="3"/>
  </cols>
  <sheetData>
    <row r="1" spans="1:14" x14ac:dyDescent="0.3">
      <c r="A1" s="3" t="s">
        <v>13</v>
      </c>
    </row>
    <row r="2" spans="1:14" x14ac:dyDescent="0.3">
      <c r="A2" s="3" t="s">
        <v>14</v>
      </c>
      <c r="B2" s="3" t="s">
        <v>15</v>
      </c>
    </row>
    <row r="3" spans="1:14" x14ac:dyDescent="0.3">
      <c r="A3" s="3" t="s">
        <v>13</v>
      </c>
    </row>
    <row r="5" spans="1:14" x14ac:dyDescent="0.3">
      <c r="A5" s="3" t="s">
        <v>13</v>
      </c>
    </row>
    <row r="6" spans="1:14" hidden="1" x14ac:dyDescent="0.3">
      <c r="A6" s="3" t="s">
        <v>16</v>
      </c>
    </row>
    <row r="7" spans="1:14" hidden="1" x14ac:dyDescent="0.3">
      <c r="A7" s="3" t="s">
        <v>13</v>
      </c>
    </row>
    <row r="8" spans="1:14" hidden="1" x14ac:dyDescent="0.3">
      <c r="A8" s="3" t="s">
        <v>0</v>
      </c>
      <c r="B8" s="3" t="s">
        <v>1</v>
      </c>
      <c r="C8" s="3" t="s">
        <v>2</v>
      </c>
      <c r="D8" s="3" t="s">
        <v>3</v>
      </c>
      <c r="E8" s="3" t="s">
        <v>4</v>
      </c>
      <c r="F8" s="3" t="s">
        <v>5</v>
      </c>
      <c r="G8" s="3" t="s">
        <v>17</v>
      </c>
      <c r="H8" s="3" t="s">
        <v>6</v>
      </c>
      <c r="I8" s="3" t="s">
        <v>7</v>
      </c>
      <c r="J8" s="3" t="s">
        <v>8</v>
      </c>
      <c r="K8" s="3" t="s">
        <v>9</v>
      </c>
      <c r="L8" s="3" t="s">
        <v>0</v>
      </c>
      <c r="M8" s="3" t="s">
        <v>10</v>
      </c>
      <c r="N8" s="3" t="s">
        <v>375</v>
      </c>
    </row>
    <row r="9" spans="1:14" hidden="1" x14ac:dyDescent="0.3">
      <c r="A9" s="3" t="s">
        <v>377</v>
      </c>
      <c r="B9" s="3" t="str">
        <f>MID(A9,FIND(" ",A9,1)+1,6)</f>
        <v>260430</v>
      </c>
      <c r="C9" s="3" t="str">
        <f>RIGHT(B9,2) &amp; "/" &amp; MID(B9,3,2) &amp; "/2026"</f>
        <v>30/04/2026</v>
      </c>
    </row>
    <row r="10" spans="1:14" x14ac:dyDescent="0.3">
      <c r="A10" s="3" t="s">
        <v>209</v>
      </c>
      <c r="B10" s="3">
        <v>1592</v>
      </c>
      <c r="C10" s="3" t="s">
        <v>210</v>
      </c>
      <c r="D10" s="4">
        <v>32042</v>
      </c>
      <c r="E10" s="3" t="s">
        <v>211</v>
      </c>
      <c r="F10" s="3" t="s">
        <v>212</v>
      </c>
      <c r="G10" s="3" t="s">
        <v>213</v>
      </c>
      <c r="H10" s="3" t="s">
        <v>214</v>
      </c>
      <c r="I10" s="3" t="s">
        <v>215</v>
      </c>
      <c r="J10" s="3">
        <v>693</v>
      </c>
      <c r="K10" s="3">
        <v>1778</v>
      </c>
      <c r="L10" s="3" t="s">
        <v>431</v>
      </c>
      <c r="M10" s="3" t="str">
        <f>A11</f>
        <v xml:space="preserve"> Desayuno</v>
      </c>
      <c r="N10" s="3">
        <f>COUNTIF(A10,"*Desayuno*")+COUNTIF(A10,"*Almuerzo*")+COUNTIF(A10,"*Cena*")+COUNTIF(A10,"*Pasa Bocas*")+COUNTIF(A10,"*Total*")</f>
        <v>0</v>
      </c>
    </row>
    <row r="11" spans="1:14" hidden="1" x14ac:dyDescent="0.3">
      <c r="A11" s="3" t="s">
        <v>25</v>
      </c>
      <c r="B11" s="3">
        <v>671</v>
      </c>
      <c r="C11" s="3" t="s">
        <v>216</v>
      </c>
      <c r="D11" s="4">
        <v>17525</v>
      </c>
      <c r="E11" s="3" t="s">
        <v>217</v>
      </c>
      <c r="F11" s="3" t="s">
        <v>68</v>
      </c>
      <c r="G11" s="3" t="s">
        <v>218</v>
      </c>
      <c r="H11" s="3" t="s">
        <v>219</v>
      </c>
      <c r="I11" s="3">
        <v>1081</v>
      </c>
      <c r="J11" s="3">
        <v>611</v>
      </c>
      <c r="K11" s="3">
        <v>379</v>
      </c>
      <c r="L11" s="3" t="s">
        <v>431</v>
      </c>
      <c r="M11" s="3" t="str">
        <f t="shared" ref="M11:M54" si="0">A12</f>
        <v xml:space="preserve">  Bionda Requesón</v>
      </c>
      <c r="N11" s="3">
        <f t="shared" ref="N11:N54" si="1">COUNTIF(A11,"*Desayuno*")+COUNTIF(A11,"*Almuerzo*")+COUNTIF(A11,"*Cena*")+COUNTIF(A11,"*Pasa Bocas*")+COUNTIF(A11,"*Total*")</f>
        <v>1</v>
      </c>
    </row>
    <row r="12" spans="1:14" x14ac:dyDescent="0.3">
      <c r="A12" s="3" t="s">
        <v>49</v>
      </c>
      <c r="B12" s="3">
        <v>39</v>
      </c>
      <c r="C12" s="3" t="s">
        <v>220</v>
      </c>
      <c r="D12" s="3" t="s">
        <v>221</v>
      </c>
      <c r="E12" s="3">
        <v>1</v>
      </c>
      <c r="F12" s="3">
        <v>0</v>
      </c>
      <c r="G12" s="3">
        <v>1</v>
      </c>
      <c r="H12" s="3" t="s">
        <v>222</v>
      </c>
      <c r="I12" s="3">
        <v>154</v>
      </c>
      <c r="J12" s="3">
        <v>10</v>
      </c>
      <c r="L12" s="3" t="s">
        <v>431</v>
      </c>
      <c r="M12" s="3" t="str">
        <f t="shared" si="0"/>
        <v xml:space="preserve">   1 porción, 30 g</v>
      </c>
      <c r="N12" s="3">
        <f t="shared" si="1"/>
        <v>0</v>
      </c>
    </row>
    <row r="13" spans="1:14" hidden="1" x14ac:dyDescent="0.3">
      <c r="A13" s="3" t="s">
        <v>33</v>
      </c>
      <c r="L13" s="3" t="s">
        <v>431</v>
      </c>
      <c r="M13" s="3" t="str">
        <f t="shared" si="0"/>
        <v xml:space="preserve">  Falcon Proteína Vegetal Chocolate</v>
      </c>
      <c r="N13" s="3">
        <f t="shared" si="1"/>
        <v>0</v>
      </c>
    </row>
    <row r="14" spans="1:14" hidden="1" x14ac:dyDescent="0.3">
      <c r="A14" s="3" t="s">
        <v>31</v>
      </c>
      <c r="B14" s="3">
        <v>110</v>
      </c>
      <c r="C14" s="3">
        <v>1</v>
      </c>
      <c r="E14" s="3">
        <v>3</v>
      </c>
      <c r="F14" s="3">
        <v>2</v>
      </c>
      <c r="G14" s="3" t="s">
        <v>32</v>
      </c>
      <c r="H14" s="3">
        <v>22</v>
      </c>
      <c r="I14" s="3">
        <v>250</v>
      </c>
      <c r="L14" s="3" t="s">
        <v>431</v>
      </c>
      <c r="M14" s="3" t="str">
        <f t="shared" si="0"/>
        <v xml:space="preserve">   1 porción, 30 g</v>
      </c>
      <c r="N14" s="3">
        <f t="shared" si="1"/>
        <v>0</v>
      </c>
    </row>
    <row r="15" spans="1:14" hidden="1" x14ac:dyDescent="0.3">
      <c r="A15" s="3" t="s">
        <v>33</v>
      </c>
      <c r="L15" s="3" t="s">
        <v>431</v>
      </c>
      <c r="M15" s="3" t="str">
        <f t="shared" si="0"/>
        <v xml:space="preserve">  Plátano</v>
      </c>
      <c r="N15" s="3">
        <f t="shared" si="1"/>
        <v>0</v>
      </c>
    </row>
    <row r="16" spans="1:14" x14ac:dyDescent="0.3">
      <c r="A16" s="3" t="s">
        <v>42</v>
      </c>
      <c r="B16" s="3">
        <v>32</v>
      </c>
      <c r="C16" s="3" t="s">
        <v>43</v>
      </c>
      <c r="D16" s="3" t="s">
        <v>39</v>
      </c>
      <c r="E16" s="3" t="s">
        <v>44</v>
      </c>
      <c r="F16" s="3" t="s">
        <v>45</v>
      </c>
      <c r="G16" s="3" t="s">
        <v>46</v>
      </c>
      <c r="H16" s="3" t="s">
        <v>47</v>
      </c>
      <c r="I16" s="3">
        <v>0</v>
      </c>
      <c r="J16" s="3">
        <v>0</v>
      </c>
      <c r="K16" s="3">
        <v>127</v>
      </c>
      <c r="L16" s="3" t="s">
        <v>431</v>
      </c>
      <c r="M16" s="3" t="str">
        <f t="shared" si="0"/>
        <v xml:space="preserve">   0.3 un/una mediano (18 cm - 20 cm de largo)</v>
      </c>
      <c r="N16" s="3">
        <f t="shared" si="1"/>
        <v>0</v>
      </c>
    </row>
    <row r="17" spans="1:14" hidden="1" x14ac:dyDescent="0.3">
      <c r="A17" s="3" t="s">
        <v>48</v>
      </c>
      <c r="L17" s="3" t="s">
        <v>431</v>
      </c>
      <c r="M17" s="3" t="str">
        <f t="shared" si="0"/>
        <v xml:space="preserve">  Huevo Revuelto</v>
      </c>
      <c r="N17" s="3">
        <f t="shared" si="1"/>
        <v>0</v>
      </c>
    </row>
    <row r="18" spans="1:14" x14ac:dyDescent="0.3">
      <c r="A18" s="3" t="s">
        <v>170</v>
      </c>
      <c r="B18" s="3">
        <v>299</v>
      </c>
      <c r="C18" s="3" t="s">
        <v>171</v>
      </c>
      <c r="D18" s="4">
        <v>8676</v>
      </c>
      <c r="E18" s="3" t="s">
        <v>172</v>
      </c>
      <c r="F18" s="3">
        <v>0</v>
      </c>
      <c r="G18" s="3" t="s">
        <v>173</v>
      </c>
      <c r="H18" s="3" t="s">
        <v>174</v>
      </c>
      <c r="I18" s="3">
        <v>316</v>
      </c>
      <c r="J18" s="3">
        <v>601</v>
      </c>
      <c r="K18" s="3">
        <v>207</v>
      </c>
      <c r="L18" s="3" t="s">
        <v>431</v>
      </c>
      <c r="M18" s="3" t="str">
        <f t="shared" si="0"/>
        <v xml:space="preserve">   3 huevos</v>
      </c>
      <c r="N18" s="3">
        <f t="shared" si="1"/>
        <v>0</v>
      </c>
    </row>
    <row r="19" spans="1:14" hidden="1" x14ac:dyDescent="0.3">
      <c r="A19" s="3" t="s">
        <v>175</v>
      </c>
      <c r="L19" s="3" t="s">
        <v>431</v>
      </c>
      <c r="M19" s="3" t="str">
        <f t="shared" si="0"/>
        <v xml:space="preserve">  Tortillas de Maíz</v>
      </c>
      <c r="N19" s="3">
        <f t="shared" si="1"/>
        <v>0</v>
      </c>
    </row>
    <row r="20" spans="1:14" x14ac:dyDescent="0.3">
      <c r="A20" s="3" t="s">
        <v>163</v>
      </c>
      <c r="B20" s="3">
        <v>52</v>
      </c>
      <c r="C20" s="3" t="s">
        <v>81</v>
      </c>
      <c r="D20" s="3" t="s">
        <v>164</v>
      </c>
      <c r="E20" s="3" t="s">
        <v>165</v>
      </c>
      <c r="F20" s="3" t="s">
        <v>166</v>
      </c>
      <c r="G20" s="3" t="s">
        <v>167</v>
      </c>
      <c r="H20" s="3" t="s">
        <v>168</v>
      </c>
      <c r="I20" s="3">
        <v>11</v>
      </c>
      <c r="J20" s="3">
        <v>0</v>
      </c>
      <c r="K20" s="3">
        <v>45</v>
      </c>
      <c r="L20" s="3" t="s">
        <v>431</v>
      </c>
      <c r="M20" s="3" t="str">
        <f t="shared" si="0"/>
        <v xml:space="preserve">   1 tortilla</v>
      </c>
      <c r="N20" s="3">
        <f t="shared" si="1"/>
        <v>0</v>
      </c>
    </row>
    <row r="21" spans="1:14" hidden="1" x14ac:dyDescent="0.3">
      <c r="A21" s="3" t="s">
        <v>169</v>
      </c>
      <c r="L21" s="3" t="s">
        <v>431</v>
      </c>
      <c r="M21" s="3" t="str">
        <f t="shared" si="0"/>
        <v xml:space="preserve">  Alpura Queso Oaxaca</v>
      </c>
      <c r="N21" s="3">
        <f t="shared" si="1"/>
        <v>0</v>
      </c>
    </row>
    <row r="22" spans="1:14" x14ac:dyDescent="0.3">
      <c r="A22" s="3" t="s">
        <v>223</v>
      </c>
      <c r="B22" s="3">
        <v>139</v>
      </c>
      <c r="C22" s="3">
        <v>10</v>
      </c>
      <c r="D22" s="3">
        <v>7</v>
      </c>
      <c r="E22" s="3" t="s">
        <v>166</v>
      </c>
      <c r="F22" s="3">
        <v>0</v>
      </c>
      <c r="G22" s="3" t="s">
        <v>166</v>
      </c>
      <c r="H22" s="3" t="s">
        <v>224</v>
      </c>
      <c r="I22" s="3">
        <v>350</v>
      </c>
      <c r="J22" s="3">
        <v>0</v>
      </c>
      <c r="K22" s="3">
        <v>0</v>
      </c>
      <c r="L22" s="3" t="s">
        <v>431</v>
      </c>
      <c r="M22" s="3" t="str">
        <f t="shared" si="0"/>
        <v xml:space="preserve">   50 g</v>
      </c>
      <c r="N22" s="3">
        <f t="shared" si="1"/>
        <v>0</v>
      </c>
    </row>
    <row r="23" spans="1:14" hidden="1" x14ac:dyDescent="0.3">
      <c r="A23" s="3" t="s">
        <v>225</v>
      </c>
      <c r="L23" s="3" t="s">
        <v>431</v>
      </c>
      <c r="M23" s="3" t="str">
        <f t="shared" si="0"/>
        <v xml:space="preserve"> Almuerzo</v>
      </c>
      <c r="N23" s="3">
        <f t="shared" si="1"/>
        <v>0</v>
      </c>
    </row>
    <row r="24" spans="1:14" hidden="1" x14ac:dyDescent="0.3">
      <c r="A24" s="3" t="s">
        <v>59</v>
      </c>
      <c r="B24" s="3">
        <v>248</v>
      </c>
      <c r="C24" s="3" t="s">
        <v>60</v>
      </c>
      <c r="D24" s="4">
        <v>1839</v>
      </c>
      <c r="E24" s="3" t="s">
        <v>226</v>
      </c>
      <c r="F24" s="3" t="s">
        <v>51</v>
      </c>
      <c r="G24" s="3" t="s">
        <v>227</v>
      </c>
      <c r="H24" s="3" t="s">
        <v>228</v>
      </c>
      <c r="I24" s="3">
        <v>657</v>
      </c>
      <c r="J24" s="3">
        <v>58</v>
      </c>
      <c r="K24" s="3">
        <v>550</v>
      </c>
      <c r="L24" s="3" t="s">
        <v>431</v>
      </c>
      <c r="M24" s="3" t="str">
        <f t="shared" si="0"/>
        <v xml:space="preserve">  Yoghurt Natural sin Azúcar</v>
      </c>
      <c r="N24" s="3">
        <f t="shared" si="1"/>
        <v>1</v>
      </c>
    </row>
    <row r="25" spans="1:14" hidden="1" x14ac:dyDescent="0.3">
      <c r="A25" s="3" t="s">
        <v>65</v>
      </c>
      <c r="B25" s="3">
        <v>46</v>
      </c>
      <c r="C25" s="3" t="s">
        <v>66</v>
      </c>
      <c r="D25" s="3" t="s">
        <v>67</v>
      </c>
      <c r="E25" s="3" t="s">
        <v>68</v>
      </c>
      <c r="F25" s="3">
        <v>0</v>
      </c>
      <c r="G25" s="3" t="s">
        <v>68</v>
      </c>
      <c r="H25" s="3" t="s">
        <v>69</v>
      </c>
      <c r="L25" s="3" t="s">
        <v>431</v>
      </c>
      <c r="M25" s="3" t="str">
        <f t="shared" si="0"/>
        <v xml:space="preserve">   1/2 x 1/2 taza, 62.5 g</v>
      </c>
      <c r="N25" s="3">
        <f t="shared" si="1"/>
        <v>0</v>
      </c>
    </row>
    <row r="26" spans="1:14" hidden="1" x14ac:dyDescent="0.3">
      <c r="A26" s="3" t="s">
        <v>70</v>
      </c>
      <c r="L26" s="3" t="s">
        <v>431</v>
      </c>
      <c r="M26" s="3" t="str">
        <f t="shared" si="0"/>
        <v xml:space="preserve">  Pechuga de Pollo a la Plancha</v>
      </c>
      <c r="N26" s="3">
        <f t="shared" si="1"/>
        <v>0</v>
      </c>
    </row>
    <row r="27" spans="1:14" x14ac:dyDescent="0.3">
      <c r="A27" s="3" t="s">
        <v>71</v>
      </c>
      <c r="B27" s="3">
        <v>111</v>
      </c>
      <c r="C27" s="3" t="s">
        <v>72</v>
      </c>
      <c r="D27" s="3" t="s">
        <v>73</v>
      </c>
      <c r="E27" s="3">
        <v>0</v>
      </c>
      <c r="F27" s="3">
        <v>0</v>
      </c>
      <c r="G27" s="3">
        <v>0</v>
      </c>
      <c r="H27" s="3" t="s">
        <v>74</v>
      </c>
      <c r="I27" s="3">
        <v>149</v>
      </c>
      <c r="J27" s="3">
        <v>58</v>
      </c>
      <c r="K27" s="3">
        <v>222</v>
      </c>
      <c r="L27" s="3" t="s">
        <v>431</v>
      </c>
      <c r="M27" s="3" t="str">
        <f t="shared" si="0"/>
        <v xml:space="preserve">   100 g</v>
      </c>
      <c r="N27" s="3">
        <f t="shared" si="1"/>
        <v>0</v>
      </c>
    </row>
    <row r="28" spans="1:14" hidden="1" x14ac:dyDescent="0.3">
      <c r="A28" s="3" t="s">
        <v>75</v>
      </c>
      <c r="L28" s="3" t="s">
        <v>431</v>
      </c>
      <c r="M28" s="3" t="str">
        <f t="shared" si="0"/>
        <v xml:space="preserve">  Crutones Sabor Italiano</v>
      </c>
      <c r="N28" s="3">
        <f t="shared" si="1"/>
        <v>0</v>
      </c>
    </row>
    <row r="29" spans="1:14" x14ac:dyDescent="0.3">
      <c r="A29" s="3" t="s">
        <v>76</v>
      </c>
      <c r="B29" s="3">
        <v>31</v>
      </c>
      <c r="C29" s="3" t="s">
        <v>77</v>
      </c>
      <c r="D29" s="3" t="s">
        <v>78</v>
      </c>
      <c r="E29" s="3" t="s">
        <v>79</v>
      </c>
      <c r="F29" s="3">
        <v>0</v>
      </c>
      <c r="G29" s="3" t="s">
        <v>80</v>
      </c>
      <c r="H29" s="3" t="s">
        <v>81</v>
      </c>
      <c r="I29" s="3">
        <v>80</v>
      </c>
      <c r="J29" s="3">
        <v>0</v>
      </c>
      <c r="K29" s="3">
        <v>0</v>
      </c>
      <c r="L29" s="3" t="s">
        <v>431</v>
      </c>
      <c r="M29" s="3" t="str">
        <f t="shared" si="0"/>
        <v xml:space="preserve">   20 piezas, 7 g</v>
      </c>
      <c r="N29" s="3">
        <f t="shared" si="1"/>
        <v>0</v>
      </c>
    </row>
    <row r="30" spans="1:14" hidden="1" x14ac:dyDescent="0.3">
      <c r="A30" s="3" t="s">
        <v>82</v>
      </c>
      <c r="L30" s="3" t="s">
        <v>431</v>
      </c>
      <c r="M30" s="3" t="str">
        <f t="shared" si="0"/>
        <v xml:space="preserve">  Chipotles Molidos</v>
      </c>
      <c r="N30" s="3">
        <f t="shared" si="1"/>
        <v>0</v>
      </c>
    </row>
    <row r="31" spans="1:14" hidden="1" x14ac:dyDescent="0.3">
      <c r="A31" s="3" t="s">
        <v>83</v>
      </c>
      <c r="B31" s="3">
        <v>17</v>
      </c>
      <c r="C31" s="3" t="s">
        <v>38</v>
      </c>
      <c r="D31" s="3">
        <v>0</v>
      </c>
      <c r="E31" s="3">
        <v>3</v>
      </c>
      <c r="F31" s="3" t="s">
        <v>84</v>
      </c>
      <c r="G31" s="3">
        <v>2</v>
      </c>
      <c r="H31" s="3" t="s">
        <v>38</v>
      </c>
      <c r="I31" s="3">
        <v>400</v>
      </c>
      <c r="L31" s="3" t="s">
        <v>431</v>
      </c>
      <c r="M31" s="3" t="str">
        <f t="shared" si="0"/>
        <v xml:space="preserve">   1 cucharada, 30 g</v>
      </c>
      <c r="N31" s="3">
        <f t="shared" si="1"/>
        <v>0</v>
      </c>
    </row>
    <row r="32" spans="1:14" hidden="1" x14ac:dyDescent="0.3">
      <c r="A32" s="3" t="s">
        <v>85</v>
      </c>
      <c r="L32" s="3" t="s">
        <v>431</v>
      </c>
      <c r="M32" s="3" t="str">
        <f t="shared" si="0"/>
        <v xml:space="preserve">  Ensalada de Lechuga con Verduras Variadas (Incluidos los Tomates y/o Zanahorias)</v>
      </c>
      <c r="N32" s="3">
        <f t="shared" si="1"/>
        <v>0</v>
      </c>
    </row>
    <row r="33" spans="1:14" x14ac:dyDescent="0.3">
      <c r="A33" s="3" t="s">
        <v>86</v>
      </c>
      <c r="B33" s="3">
        <v>25</v>
      </c>
      <c r="C33" s="3" t="s">
        <v>87</v>
      </c>
      <c r="D33" s="3" t="s">
        <v>88</v>
      </c>
      <c r="E33" s="3" t="s">
        <v>60</v>
      </c>
      <c r="F33" s="3">
        <v>2</v>
      </c>
      <c r="G33" s="3" t="s">
        <v>89</v>
      </c>
      <c r="H33" s="3" t="s">
        <v>90</v>
      </c>
      <c r="I33" s="3">
        <v>28</v>
      </c>
      <c r="J33" s="3">
        <v>0</v>
      </c>
      <c r="K33" s="3">
        <v>291</v>
      </c>
      <c r="L33" s="3" t="s">
        <v>431</v>
      </c>
      <c r="M33" s="3" t="str">
        <f t="shared" si="0"/>
        <v xml:space="preserve">   2 tazas</v>
      </c>
      <c r="N33" s="3">
        <f t="shared" si="1"/>
        <v>0</v>
      </c>
    </row>
    <row r="34" spans="1:14" hidden="1" x14ac:dyDescent="0.3">
      <c r="A34" s="3" t="s">
        <v>91</v>
      </c>
      <c r="L34" s="3" t="s">
        <v>431</v>
      </c>
      <c r="M34" s="3" t="str">
        <f t="shared" si="0"/>
        <v xml:space="preserve">  Manzana</v>
      </c>
      <c r="N34" s="3">
        <f t="shared" si="1"/>
        <v>0</v>
      </c>
    </row>
    <row r="35" spans="1:14" x14ac:dyDescent="0.3">
      <c r="A35" s="3" t="s">
        <v>92</v>
      </c>
      <c r="B35" s="3">
        <v>18</v>
      </c>
      <c r="C35" s="3" t="s">
        <v>93</v>
      </c>
      <c r="D35" s="3" t="s">
        <v>94</v>
      </c>
      <c r="E35" s="3" t="s">
        <v>95</v>
      </c>
      <c r="F35" s="3" t="s">
        <v>96</v>
      </c>
      <c r="G35" s="3" t="s">
        <v>97</v>
      </c>
      <c r="H35" s="3" t="s">
        <v>98</v>
      </c>
      <c r="I35" s="3">
        <v>0</v>
      </c>
      <c r="J35" s="3">
        <v>0</v>
      </c>
      <c r="K35" s="3">
        <v>37</v>
      </c>
      <c r="L35" s="3" t="s">
        <v>431</v>
      </c>
      <c r="M35" s="3" t="str">
        <f t="shared" si="0"/>
        <v xml:space="preserve">   1/4 un/una mediana (7 cm de diámetro) (aprox. 3 por 450 g)</v>
      </c>
      <c r="N35" s="3">
        <f t="shared" si="1"/>
        <v>0</v>
      </c>
    </row>
    <row r="36" spans="1:14" hidden="1" x14ac:dyDescent="0.3">
      <c r="A36" s="3" t="s">
        <v>99</v>
      </c>
      <c r="L36" s="3" t="s">
        <v>431</v>
      </c>
      <c r="M36" s="3" t="str">
        <f t="shared" si="0"/>
        <v xml:space="preserve"> Cena</v>
      </c>
      <c r="N36" s="3">
        <f t="shared" si="1"/>
        <v>0</v>
      </c>
    </row>
    <row r="37" spans="1:14" hidden="1" x14ac:dyDescent="0.3">
      <c r="A37" s="3" t="s">
        <v>106</v>
      </c>
      <c r="B37" s="3">
        <v>421</v>
      </c>
      <c r="C37" s="3" t="s">
        <v>229</v>
      </c>
      <c r="D37" s="3" t="s">
        <v>230</v>
      </c>
      <c r="E37" s="3" t="s">
        <v>186</v>
      </c>
      <c r="F37" s="3" t="s">
        <v>187</v>
      </c>
      <c r="G37" s="3" t="s">
        <v>188</v>
      </c>
      <c r="H37" s="3" t="s">
        <v>231</v>
      </c>
      <c r="I37" s="3" t="s">
        <v>232</v>
      </c>
      <c r="J37" s="3">
        <v>24</v>
      </c>
      <c r="K37" s="3">
        <v>516</v>
      </c>
      <c r="L37" s="3" t="s">
        <v>431</v>
      </c>
      <c r="M37" s="3" t="str">
        <f t="shared" si="0"/>
        <v xml:space="preserve">  Caperucita Queso Manchego</v>
      </c>
      <c r="N37" s="3">
        <f t="shared" si="1"/>
        <v>1</v>
      </c>
    </row>
    <row r="38" spans="1:14" hidden="1" x14ac:dyDescent="0.3">
      <c r="A38" s="3" t="s">
        <v>233</v>
      </c>
      <c r="B38" s="3">
        <v>161</v>
      </c>
      <c r="C38" s="3">
        <v>13</v>
      </c>
      <c r="D38" s="3" t="s">
        <v>234</v>
      </c>
      <c r="E38" s="3">
        <v>0</v>
      </c>
      <c r="H38" s="3">
        <v>11</v>
      </c>
      <c r="I38" s="3" t="s">
        <v>47</v>
      </c>
      <c r="L38" s="3" t="s">
        <v>431</v>
      </c>
      <c r="M38" s="3" t="str">
        <f t="shared" si="0"/>
        <v xml:space="preserve">   1 porción, 50 g</v>
      </c>
      <c r="N38" s="3">
        <f t="shared" si="1"/>
        <v>0</v>
      </c>
    </row>
    <row r="39" spans="1:14" hidden="1" x14ac:dyDescent="0.3">
      <c r="A39" s="3" t="s">
        <v>235</v>
      </c>
      <c r="L39" s="3" t="s">
        <v>431</v>
      </c>
      <c r="M39" s="3" t="str">
        <f t="shared" si="0"/>
        <v xml:space="preserve">  Hojuelas de Avena Natural (30g)</v>
      </c>
      <c r="N39" s="3">
        <f t="shared" si="1"/>
        <v>0</v>
      </c>
    </row>
    <row r="40" spans="1:14" x14ac:dyDescent="0.3">
      <c r="A40" s="3" t="s">
        <v>190</v>
      </c>
      <c r="B40" s="3">
        <v>71</v>
      </c>
      <c r="C40" s="3" t="s">
        <v>120</v>
      </c>
      <c r="D40" s="3" t="s">
        <v>32</v>
      </c>
      <c r="E40" s="3" t="s">
        <v>191</v>
      </c>
      <c r="F40" s="3" t="s">
        <v>192</v>
      </c>
      <c r="G40" s="3" t="s">
        <v>78</v>
      </c>
      <c r="H40" s="3" t="s">
        <v>193</v>
      </c>
      <c r="I40" s="3">
        <v>0</v>
      </c>
      <c r="J40" s="3">
        <v>0</v>
      </c>
      <c r="L40" s="3" t="s">
        <v>431</v>
      </c>
      <c r="M40" s="3" t="str">
        <f t="shared" si="0"/>
        <v xml:space="preserve">   1/2 taza, 30 g</v>
      </c>
      <c r="N40" s="3">
        <f t="shared" si="1"/>
        <v>0</v>
      </c>
    </row>
    <row r="41" spans="1:14" hidden="1" x14ac:dyDescent="0.3">
      <c r="A41" s="3" t="s">
        <v>194</v>
      </c>
      <c r="L41" s="3" t="s">
        <v>431</v>
      </c>
      <c r="M41" s="3" t="str">
        <f t="shared" si="0"/>
        <v xml:space="preserve">  Fresas Congeladas</v>
      </c>
      <c r="N41" s="3">
        <f t="shared" si="1"/>
        <v>0</v>
      </c>
    </row>
    <row r="42" spans="1:14" hidden="1" x14ac:dyDescent="0.3">
      <c r="A42" s="3" t="s">
        <v>195</v>
      </c>
      <c r="B42" s="3">
        <v>36</v>
      </c>
      <c r="C42" s="3">
        <v>0</v>
      </c>
      <c r="D42" s="3">
        <v>0</v>
      </c>
      <c r="E42" s="3" t="s">
        <v>196</v>
      </c>
      <c r="F42" s="3">
        <v>2</v>
      </c>
      <c r="G42" s="3" t="s">
        <v>197</v>
      </c>
      <c r="H42" s="3">
        <v>0</v>
      </c>
      <c r="L42" s="3" t="s">
        <v>431</v>
      </c>
      <c r="M42" s="3" t="str">
        <f t="shared" si="0"/>
        <v xml:space="preserve">   100 g</v>
      </c>
      <c r="N42" s="3">
        <f t="shared" si="1"/>
        <v>0</v>
      </c>
    </row>
    <row r="43" spans="1:14" hidden="1" x14ac:dyDescent="0.3">
      <c r="A43" s="3" t="s">
        <v>75</v>
      </c>
      <c r="L43" s="3" t="s">
        <v>431</v>
      </c>
      <c r="M43" s="3" t="str">
        <f t="shared" si="0"/>
        <v xml:space="preserve">  Espinacas</v>
      </c>
      <c r="N43" s="3">
        <f t="shared" si="1"/>
        <v>0</v>
      </c>
    </row>
    <row r="44" spans="1:14" x14ac:dyDescent="0.3">
      <c r="A44" s="3" t="s">
        <v>198</v>
      </c>
      <c r="B44" s="3">
        <v>7</v>
      </c>
      <c r="C44" s="3" t="s">
        <v>43</v>
      </c>
      <c r="D44" s="3" t="s">
        <v>199</v>
      </c>
      <c r="E44" s="3" t="s">
        <v>200</v>
      </c>
      <c r="F44" s="3" t="s">
        <v>201</v>
      </c>
      <c r="G44" s="3" t="s">
        <v>36</v>
      </c>
      <c r="H44" s="3" t="s">
        <v>202</v>
      </c>
      <c r="I44" s="3">
        <v>24</v>
      </c>
      <c r="J44" s="3">
        <v>0</v>
      </c>
      <c r="K44" s="3">
        <v>167</v>
      </c>
      <c r="L44" s="3" t="s">
        <v>431</v>
      </c>
      <c r="M44" s="3" t="str">
        <f t="shared" si="0"/>
        <v xml:space="preserve">   1 taza</v>
      </c>
      <c r="N44" s="3">
        <f t="shared" si="1"/>
        <v>0</v>
      </c>
    </row>
    <row r="45" spans="1:14" hidden="1" x14ac:dyDescent="0.3">
      <c r="A45" s="3" t="s">
        <v>203</v>
      </c>
      <c r="L45" s="3" t="s">
        <v>431</v>
      </c>
      <c r="M45" s="3" t="str">
        <f t="shared" si="0"/>
        <v xml:space="preserve">  Leche Entera</v>
      </c>
      <c r="N45" s="3">
        <f t="shared" si="1"/>
        <v>0</v>
      </c>
    </row>
    <row r="46" spans="1:14" x14ac:dyDescent="0.3">
      <c r="A46" s="3" t="s">
        <v>204</v>
      </c>
      <c r="B46" s="3">
        <v>146</v>
      </c>
      <c r="C46" s="3" t="s">
        <v>205</v>
      </c>
      <c r="D46" s="4">
        <v>4551</v>
      </c>
      <c r="E46" s="3" t="s">
        <v>206</v>
      </c>
      <c r="F46" s="3">
        <v>0</v>
      </c>
      <c r="G46" s="3" t="s">
        <v>207</v>
      </c>
      <c r="H46" s="3" t="s">
        <v>208</v>
      </c>
      <c r="I46" s="3">
        <v>98</v>
      </c>
      <c r="J46" s="3">
        <v>24</v>
      </c>
      <c r="K46" s="3">
        <v>349</v>
      </c>
      <c r="L46" s="3" t="s">
        <v>431</v>
      </c>
      <c r="M46" s="3" t="str">
        <f t="shared" si="0"/>
        <v xml:space="preserve">   1 taza</v>
      </c>
      <c r="N46" s="3">
        <f t="shared" si="1"/>
        <v>0</v>
      </c>
    </row>
    <row r="47" spans="1:14" hidden="1" x14ac:dyDescent="0.3">
      <c r="A47" s="3" t="s">
        <v>203</v>
      </c>
      <c r="L47" s="3" t="s">
        <v>431</v>
      </c>
      <c r="M47" s="3" t="str">
        <f t="shared" si="0"/>
        <v xml:space="preserve"> Pasa Bocas / Otros</v>
      </c>
      <c r="N47" s="3">
        <f t="shared" si="1"/>
        <v>0</v>
      </c>
    </row>
    <row r="48" spans="1:14" hidden="1" x14ac:dyDescent="0.3">
      <c r="A48" s="3" t="s">
        <v>137</v>
      </c>
      <c r="B48" s="3">
        <v>252</v>
      </c>
      <c r="C48" s="3" t="s">
        <v>236</v>
      </c>
      <c r="D48" s="4">
        <v>1608</v>
      </c>
      <c r="E48" s="3" t="s">
        <v>237</v>
      </c>
      <c r="F48" s="3" t="s">
        <v>166</v>
      </c>
      <c r="G48" s="3" t="s">
        <v>238</v>
      </c>
      <c r="H48" s="3" t="s">
        <v>239</v>
      </c>
      <c r="I48" s="3">
        <v>106</v>
      </c>
      <c r="J48" s="3">
        <v>0</v>
      </c>
      <c r="K48" s="3">
        <v>333</v>
      </c>
      <c r="L48" s="3" t="s">
        <v>431</v>
      </c>
      <c r="M48" s="3" t="str">
        <f t="shared" si="0"/>
        <v xml:space="preserve">  Chicharrones de Harina</v>
      </c>
      <c r="N48" s="3">
        <f t="shared" si="1"/>
        <v>1</v>
      </c>
    </row>
    <row r="49" spans="1:14" x14ac:dyDescent="0.3">
      <c r="A49" s="3" t="s">
        <v>240</v>
      </c>
      <c r="B49" s="3">
        <v>150</v>
      </c>
      <c r="C49" s="3" t="s">
        <v>241</v>
      </c>
      <c r="D49" s="4">
        <v>1584</v>
      </c>
      <c r="E49" s="3" t="s">
        <v>242</v>
      </c>
      <c r="F49" s="3" t="s">
        <v>45</v>
      </c>
      <c r="G49" s="3" t="s">
        <v>93</v>
      </c>
      <c r="H49" s="3" t="s">
        <v>243</v>
      </c>
      <c r="I49" s="3">
        <v>91</v>
      </c>
      <c r="J49" s="3">
        <v>0</v>
      </c>
      <c r="K49" s="3">
        <v>163</v>
      </c>
      <c r="L49" s="3" t="s">
        <v>431</v>
      </c>
      <c r="M49" s="3" t="str">
        <f t="shared" si="0"/>
        <v xml:space="preserve">   30 g</v>
      </c>
      <c r="N49" s="3">
        <f t="shared" si="1"/>
        <v>0</v>
      </c>
    </row>
    <row r="50" spans="1:14" hidden="1" x14ac:dyDescent="0.3">
      <c r="A50" s="3" t="s">
        <v>244</v>
      </c>
      <c r="L50" s="3" t="s">
        <v>431</v>
      </c>
      <c r="M50" s="3" t="str">
        <f t="shared" si="0"/>
        <v xml:space="preserve">  D'Gari Gelatina de Agua</v>
      </c>
      <c r="N50" s="3">
        <f t="shared" si="1"/>
        <v>0</v>
      </c>
    </row>
    <row r="51" spans="1:14" x14ac:dyDescent="0.3">
      <c r="A51" s="3" t="s">
        <v>182</v>
      </c>
      <c r="B51" s="3">
        <v>56</v>
      </c>
      <c r="C51" s="3">
        <v>0</v>
      </c>
      <c r="D51" s="3">
        <v>0</v>
      </c>
      <c r="E51" s="3" t="s">
        <v>109</v>
      </c>
      <c r="F51" s="3">
        <v>0</v>
      </c>
      <c r="G51" s="3" t="s">
        <v>109</v>
      </c>
      <c r="H51" s="3" t="s">
        <v>133</v>
      </c>
      <c r="I51" s="3">
        <v>13</v>
      </c>
      <c r="J51" s="3">
        <v>0</v>
      </c>
      <c r="L51" s="3" t="s">
        <v>431</v>
      </c>
      <c r="M51" s="3" t="str">
        <f t="shared" si="0"/>
        <v xml:space="preserve">   	1 porción, 130 g</v>
      </c>
      <c r="N51" s="3">
        <f t="shared" si="1"/>
        <v>0</v>
      </c>
    </row>
    <row r="52" spans="1:14" hidden="1" x14ac:dyDescent="0.3">
      <c r="A52" s="3" t="s">
        <v>183</v>
      </c>
      <c r="L52" s="3" t="s">
        <v>431</v>
      </c>
      <c r="M52" s="3" t="str">
        <f t="shared" si="0"/>
        <v xml:space="preserve">  Sandía</v>
      </c>
      <c r="N52" s="3">
        <f t="shared" si="1"/>
        <v>0</v>
      </c>
    </row>
    <row r="53" spans="1:14" x14ac:dyDescent="0.3">
      <c r="A53" s="3" t="s">
        <v>245</v>
      </c>
      <c r="B53" s="3">
        <v>46</v>
      </c>
      <c r="C53" s="3" t="s">
        <v>246</v>
      </c>
      <c r="D53" s="3" t="s">
        <v>247</v>
      </c>
      <c r="E53" s="3" t="s">
        <v>248</v>
      </c>
      <c r="F53" s="3" t="s">
        <v>84</v>
      </c>
      <c r="G53" s="3" t="s">
        <v>249</v>
      </c>
      <c r="H53" s="3" t="s">
        <v>250</v>
      </c>
      <c r="I53" s="3">
        <v>2</v>
      </c>
      <c r="J53" s="3">
        <v>0</v>
      </c>
      <c r="K53" s="3">
        <v>170</v>
      </c>
      <c r="L53" s="3" t="s">
        <v>431</v>
      </c>
      <c r="M53" s="3" t="str">
        <f t="shared" si="0"/>
        <v xml:space="preserve">   1 taza</v>
      </c>
      <c r="N53" s="3">
        <f t="shared" si="1"/>
        <v>0</v>
      </c>
    </row>
    <row r="54" spans="1:14" hidden="1" x14ac:dyDescent="0.3">
      <c r="A54" s="3" t="s">
        <v>203</v>
      </c>
      <c r="L54" s="3" t="s">
        <v>431</v>
      </c>
      <c r="M54" s="3">
        <f t="shared" si="0"/>
        <v>0</v>
      </c>
      <c r="N54" s="3">
        <f t="shared" si="1"/>
        <v>0</v>
      </c>
    </row>
  </sheetData>
  <autoFilter ref="A5:N54" xr:uid="{FBA29D12-DA88-474D-9DA5-9980545C7360}">
    <filterColumn colId="9">
      <customFilters>
        <customFilter operator="notEqual" val=" "/>
      </customFilters>
    </filterColumn>
    <filterColumn colId="13">
      <filters>
        <filter val="0"/>
      </filters>
    </filterColumn>
  </autoFilter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2EE8B-A8F9-4FD3-8BE3-99B5D484909A}">
  <sheetPr codeName="Hoja6" filterMode="1"/>
  <dimension ref="A1:N56"/>
  <sheetViews>
    <sheetView workbookViewId="0">
      <selection activeCell="N10" sqref="N10:N56"/>
    </sheetView>
  </sheetViews>
  <sheetFormatPr baseColWidth="10" defaultRowHeight="14.4" x14ac:dyDescent="0.3"/>
  <cols>
    <col min="1" max="16384" width="11.19921875" style="3"/>
  </cols>
  <sheetData>
    <row r="1" spans="1:14" x14ac:dyDescent="0.3">
      <c r="A1" s="3" t="s">
        <v>13</v>
      </c>
    </row>
    <row r="2" spans="1:14" x14ac:dyDescent="0.3">
      <c r="A2" s="3" t="s">
        <v>14</v>
      </c>
      <c r="B2" s="3" t="s">
        <v>15</v>
      </c>
    </row>
    <row r="3" spans="1:14" x14ac:dyDescent="0.3">
      <c r="A3" s="3" t="s">
        <v>13</v>
      </c>
    </row>
    <row r="5" spans="1:14" x14ac:dyDescent="0.3">
      <c r="A5" s="3" t="s">
        <v>13</v>
      </c>
    </row>
    <row r="6" spans="1:14" hidden="1" x14ac:dyDescent="0.3">
      <c r="A6" s="3" t="s">
        <v>16</v>
      </c>
    </row>
    <row r="7" spans="1:14" hidden="1" x14ac:dyDescent="0.3">
      <c r="A7" s="3" t="s">
        <v>13</v>
      </c>
    </row>
    <row r="8" spans="1:14" hidden="1" x14ac:dyDescent="0.3">
      <c r="A8" s="3" t="s">
        <v>0</v>
      </c>
      <c r="B8" s="3" t="s">
        <v>1</v>
      </c>
      <c r="C8" s="3" t="s">
        <v>2</v>
      </c>
      <c r="D8" s="3" t="s">
        <v>3</v>
      </c>
      <c r="E8" s="3" t="s">
        <v>4</v>
      </c>
      <c r="F8" s="3" t="s">
        <v>5</v>
      </c>
      <c r="G8" s="3" t="s">
        <v>17</v>
      </c>
      <c r="H8" s="3" t="s">
        <v>6</v>
      </c>
      <c r="I8" s="3" t="s">
        <v>7</v>
      </c>
      <c r="J8" s="3" t="s">
        <v>8</v>
      </c>
      <c r="K8" s="3" t="s">
        <v>9</v>
      </c>
      <c r="L8" s="3" t="s">
        <v>0</v>
      </c>
      <c r="M8" s="3" t="s">
        <v>10</v>
      </c>
      <c r="N8" s="3" t="s">
        <v>375</v>
      </c>
    </row>
    <row r="9" spans="1:14" hidden="1" x14ac:dyDescent="0.3">
      <c r="A9" s="3" t="s">
        <v>376</v>
      </c>
      <c r="B9" s="3" t="str">
        <f>MID(A9,FIND(" ",A9,1)+1,6)</f>
        <v>260429</v>
      </c>
      <c r="C9" s="3" t="str">
        <f>RIGHT(B9,2) &amp; "/" &amp; MID(B9,3,2) &amp; "/2026"</f>
        <v>29/04/2026</v>
      </c>
    </row>
    <row r="10" spans="1:14" x14ac:dyDescent="0.3">
      <c r="A10" s="3" t="s">
        <v>138</v>
      </c>
      <c r="B10" s="3">
        <v>1415</v>
      </c>
      <c r="C10" s="3" t="s">
        <v>139</v>
      </c>
      <c r="D10" s="4">
        <v>23037</v>
      </c>
      <c r="E10" s="3" t="s">
        <v>140</v>
      </c>
      <c r="F10" s="3" t="s">
        <v>141</v>
      </c>
      <c r="G10" s="3" t="s">
        <v>142</v>
      </c>
      <c r="H10" s="3" t="s">
        <v>143</v>
      </c>
      <c r="I10" s="3">
        <v>2236</v>
      </c>
      <c r="J10" s="3">
        <v>699</v>
      </c>
      <c r="K10" s="3">
        <v>2003</v>
      </c>
      <c r="L10" s="3" t="s">
        <v>432</v>
      </c>
      <c r="M10" s="3" t="str">
        <f>A11</f>
        <v xml:space="preserve"> Desayuno</v>
      </c>
      <c r="N10" s="3">
        <f>COUNTIF(A10,"*Desayuno*")+COUNTIF(A10,"*Almuerzo*")+COUNTIF(A10,"*Cena*")+COUNTIF(A10,"*Pasa Bocas*")+COUNTIF(A10,"*Total*")</f>
        <v>0</v>
      </c>
    </row>
    <row r="11" spans="1:14" hidden="1" x14ac:dyDescent="0.3">
      <c r="A11" s="3" t="s">
        <v>25</v>
      </c>
      <c r="B11" s="3">
        <v>796</v>
      </c>
      <c r="C11" s="3" t="s">
        <v>144</v>
      </c>
      <c r="D11" s="4">
        <v>16268</v>
      </c>
      <c r="E11" s="3" t="s">
        <v>145</v>
      </c>
      <c r="F11" s="3" t="s">
        <v>146</v>
      </c>
      <c r="G11" s="3" t="s">
        <v>147</v>
      </c>
      <c r="H11" s="3" t="s">
        <v>148</v>
      </c>
      <c r="I11" s="3">
        <v>1440</v>
      </c>
      <c r="J11" s="3">
        <v>617</v>
      </c>
      <c r="K11" s="3">
        <v>577</v>
      </c>
      <c r="L11" s="3" t="s">
        <v>432</v>
      </c>
      <c r="M11" s="3" t="str">
        <f t="shared" ref="M11:M56" si="0">A12</f>
        <v xml:space="preserve">  Leche (Leche Entera)</v>
      </c>
      <c r="N11" s="3">
        <f t="shared" ref="N11:N56" si="1">COUNTIF(A11,"*Desayuno*")+COUNTIF(A11,"*Almuerzo*")+COUNTIF(A11,"*Cena*")+COUNTIF(A11,"*Pasa Bocas*")+COUNTIF(A11,"*Total*")</f>
        <v>1</v>
      </c>
    </row>
    <row r="12" spans="1:14" x14ac:dyDescent="0.3">
      <c r="A12" s="3" t="s">
        <v>149</v>
      </c>
      <c r="B12" s="3">
        <v>37</v>
      </c>
      <c r="C12" s="3" t="s">
        <v>150</v>
      </c>
      <c r="D12" s="4">
        <v>1138</v>
      </c>
      <c r="E12" s="3" t="s">
        <v>151</v>
      </c>
      <c r="F12" s="3">
        <v>0</v>
      </c>
      <c r="G12" s="3" t="s">
        <v>152</v>
      </c>
      <c r="H12" s="3" t="s">
        <v>153</v>
      </c>
      <c r="I12" s="3">
        <v>24</v>
      </c>
      <c r="J12" s="3">
        <v>6</v>
      </c>
      <c r="K12" s="3">
        <v>87</v>
      </c>
      <c r="L12" s="3" t="s">
        <v>432</v>
      </c>
      <c r="M12" s="3" t="str">
        <f t="shared" si="0"/>
        <v xml:space="preserve">   1/4 un/una taza</v>
      </c>
      <c r="N12" s="3">
        <f t="shared" si="1"/>
        <v>0</v>
      </c>
    </row>
    <row r="13" spans="1:14" hidden="1" x14ac:dyDescent="0.3">
      <c r="A13" s="3" t="s">
        <v>154</v>
      </c>
      <c r="L13" s="3" t="s">
        <v>432</v>
      </c>
      <c r="M13" s="3" t="str">
        <f t="shared" si="0"/>
        <v xml:space="preserve">  Café</v>
      </c>
      <c r="N13" s="3">
        <f t="shared" si="1"/>
        <v>0</v>
      </c>
    </row>
    <row r="14" spans="1:14" x14ac:dyDescent="0.3">
      <c r="A14" s="3" t="s">
        <v>155</v>
      </c>
      <c r="B14" s="3">
        <v>2</v>
      </c>
      <c r="C14" s="3" t="s">
        <v>156</v>
      </c>
      <c r="D14" s="3" t="s">
        <v>157</v>
      </c>
      <c r="E14" s="3" t="s">
        <v>98</v>
      </c>
      <c r="F14" s="3">
        <v>0</v>
      </c>
      <c r="G14" s="3">
        <v>0</v>
      </c>
      <c r="H14" s="3" t="s">
        <v>158</v>
      </c>
      <c r="I14" s="3">
        <v>5</v>
      </c>
      <c r="J14" s="3">
        <v>0</v>
      </c>
      <c r="K14" s="3">
        <v>111</v>
      </c>
      <c r="L14" s="3" t="s">
        <v>432</v>
      </c>
      <c r="M14" s="3" t="str">
        <f t="shared" si="0"/>
        <v xml:space="preserve">   1 taza (240 ml)</v>
      </c>
      <c r="N14" s="3">
        <f t="shared" si="1"/>
        <v>0</v>
      </c>
    </row>
    <row r="15" spans="1:14" hidden="1" x14ac:dyDescent="0.3">
      <c r="A15" s="3" t="s">
        <v>159</v>
      </c>
      <c r="L15" s="3" t="s">
        <v>432</v>
      </c>
      <c r="M15" s="3" t="str">
        <f t="shared" si="0"/>
        <v xml:space="preserve">  Azúcar</v>
      </c>
      <c r="N15" s="3">
        <f t="shared" si="1"/>
        <v>0</v>
      </c>
    </row>
    <row r="16" spans="1:14" x14ac:dyDescent="0.3">
      <c r="A16" s="3" t="s">
        <v>160</v>
      </c>
      <c r="B16" s="3">
        <v>33</v>
      </c>
      <c r="C16" s="3">
        <v>0</v>
      </c>
      <c r="D16" s="3">
        <v>0</v>
      </c>
      <c r="E16" s="3" t="s">
        <v>113</v>
      </c>
      <c r="F16" s="3">
        <v>0</v>
      </c>
      <c r="G16" s="3" t="s">
        <v>161</v>
      </c>
      <c r="H16" s="3">
        <v>0</v>
      </c>
      <c r="I16" s="3">
        <v>0</v>
      </c>
      <c r="J16" s="3">
        <v>0</v>
      </c>
      <c r="K16" s="3">
        <v>0</v>
      </c>
      <c r="L16" s="3" t="s">
        <v>432</v>
      </c>
      <c r="M16" s="3" t="str">
        <f t="shared" si="0"/>
        <v xml:space="preserve">   2 cucharaditas</v>
      </c>
      <c r="N16" s="3">
        <f t="shared" si="1"/>
        <v>0</v>
      </c>
    </row>
    <row r="17" spans="1:14" hidden="1" x14ac:dyDescent="0.3">
      <c r="A17" s="3" t="s">
        <v>162</v>
      </c>
      <c r="L17" s="3" t="s">
        <v>432</v>
      </c>
      <c r="M17" s="3" t="str">
        <f t="shared" si="0"/>
        <v xml:space="preserve">  Tortillas de Maíz</v>
      </c>
      <c r="N17" s="3">
        <f t="shared" si="1"/>
        <v>0</v>
      </c>
    </row>
    <row r="18" spans="1:14" x14ac:dyDescent="0.3">
      <c r="A18" s="3" t="s">
        <v>163</v>
      </c>
      <c r="B18" s="3">
        <v>52</v>
      </c>
      <c r="C18" s="3" t="s">
        <v>81</v>
      </c>
      <c r="D18" s="3" t="s">
        <v>164</v>
      </c>
      <c r="E18" s="3" t="s">
        <v>165</v>
      </c>
      <c r="F18" s="3" t="s">
        <v>166</v>
      </c>
      <c r="G18" s="3" t="s">
        <v>167</v>
      </c>
      <c r="H18" s="3" t="s">
        <v>168</v>
      </c>
      <c r="I18" s="3">
        <v>11</v>
      </c>
      <c r="J18" s="3">
        <v>0</v>
      </c>
      <c r="K18" s="3">
        <v>45</v>
      </c>
      <c r="L18" s="3" t="s">
        <v>432</v>
      </c>
      <c r="M18" s="3" t="str">
        <f t="shared" si="0"/>
        <v xml:space="preserve">   1 tortilla</v>
      </c>
      <c r="N18" s="3">
        <f t="shared" si="1"/>
        <v>0</v>
      </c>
    </row>
    <row r="19" spans="1:14" hidden="1" x14ac:dyDescent="0.3">
      <c r="A19" s="3" t="s">
        <v>169</v>
      </c>
      <c r="L19" s="3" t="s">
        <v>432</v>
      </c>
      <c r="M19" s="3" t="str">
        <f t="shared" si="0"/>
        <v xml:space="preserve">  Falcon Proteína Vegetal Chocolate</v>
      </c>
      <c r="N19" s="3">
        <f t="shared" si="1"/>
        <v>0</v>
      </c>
    </row>
    <row r="20" spans="1:14" hidden="1" x14ac:dyDescent="0.3">
      <c r="A20" s="3" t="s">
        <v>31</v>
      </c>
      <c r="B20" s="3">
        <v>110</v>
      </c>
      <c r="C20" s="3">
        <v>1</v>
      </c>
      <c r="E20" s="3">
        <v>3</v>
      </c>
      <c r="F20" s="3">
        <v>2</v>
      </c>
      <c r="G20" s="3" t="s">
        <v>32</v>
      </c>
      <c r="H20" s="3">
        <v>22</v>
      </c>
      <c r="I20" s="3">
        <v>250</v>
      </c>
      <c r="L20" s="3" t="s">
        <v>432</v>
      </c>
      <c r="M20" s="3" t="str">
        <f t="shared" si="0"/>
        <v xml:space="preserve">   1 porción, 30 g</v>
      </c>
      <c r="N20" s="3">
        <f t="shared" si="1"/>
        <v>0</v>
      </c>
    </row>
    <row r="21" spans="1:14" hidden="1" x14ac:dyDescent="0.3">
      <c r="A21" s="3" t="s">
        <v>33</v>
      </c>
      <c r="L21" s="3" t="s">
        <v>432</v>
      </c>
      <c r="M21" s="3" t="str">
        <f t="shared" si="0"/>
        <v xml:space="preserve">  Huevo Revuelto</v>
      </c>
      <c r="N21" s="3">
        <f t="shared" si="1"/>
        <v>0</v>
      </c>
    </row>
    <row r="22" spans="1:14" x14ac:dyDescent="0.3">
      <c r="A22" s="3" t="s">
        <v>170</v>
      </c>
      <c r="B22" s="3">
        <v>299</v>
      </c>
      <c r="C22" s="3" t="s">
        <v>171</v>
      </c>
      <c r="D22" s="4">
        <v>8676</v>
      </c>
      <c r="E22" s="3" t="s">
        <v>172</v>
      </c>
      <c r="F22" s="3">
        <v>0</v>
      </c>
      <c r="G22" s="3" t="s">
        <v>173</v>
      </c>
      <c r="H22" s="3" t="s">
        <v>174</v>
      </c>
      <c r="I22" s="3">
        <v>316</v>
      </c>
      <c r="J22" s="3">
        <v>601</v>
      </c>
      <c r="K22" s="3">
        <v>207</v>
      </c>
      <c r="L22" s="3" t="s">
        <v>432</v>
      </c>
      <c r="M22" s="3" t="str">
        <f t="shared" si="0"/>
        <v xml:space="preserve">   3 huevos</v>
      </c>
      <c r="N22" s="3">
        <f t="shared" si="1"/>
        <v>0</v>
      </c>
    </row>
    <row r="23" spans="1:14" hidden="1" x14ac:dyDescent="0.3">
      <c r="A23" s="3" t="s">
        <v>175</v>
      </c>
      <c r="L23" s="3" t="s">
        <v>432</v>
      </c>
      <c r="M23" s="3" t="str">
        <f t="shared" si="0"/>
        <v xml:space="preserve">  Plátano</v>
      </c>
      <c r="N23" s="3">
        <f t="shared" si="1"/>
        <v>0</v>
      </c>
    </row>
    <row r="24" spans="1:14" x14ac:dyDescent="0.3">
      <c r="A24" s="3" t="s">
        <v>42</v>
      </c>
      <c r="B24" s="3">
        <v>32</v>
      </c>
      <c r="C24" s="3" t="s">
        <v>43</v>
      </c>
      <c r="D24" s="3" t="s">
        <v>39</v>
      </c>
      <c r="E24" s="3" t="s">
        <v>44</v>
      </c>
      <c r="F24" s="3" t="s">
        <v>45</v>
      </c>
      <c r="G24" s="3" t="s">
        <v>46</v>
      </c>
      <c r="H24" s="3" t="s">
        <v>47</v>
      </c>
      <c r="I24" s="3">
        <v>0</v>
      </c>
      <c r="J24" s="3">
        <v>0</v>
      </c>
      <c r="K24" s="3">
        <v>127</v>
      </c>
      <c r="L24" s="3" t="s">
        <v>432</v>
      </c>
      <c r="M24" s="3" t="str">
        <f t="shared" si="0"/>
        <v xml:space="preserve">   0.3 un/una mediano (18 cm - 20 cm de largo)</v>
      </c>
      <c r="N24" s="3">
        <f t="shared" si="1"/>
        <v>0</v>
      </c>
    </row>
    <row r="25" spans="1:14" hidden="1" x14ac:dyDescent="0.3">
      <c r="A25" s="3" t="s">
        <v>48</v>
      </c>
      <c r="L25" s="3" t="s">
        <v>432</v>
      </c>
      <c r="M25" s="3" t="str">
        <f t="shared" si="0"/>
        <v xml:space="preserve">  Bionda Requesón</v>
      </c>
      <c r="N25" s="3">
        <f t="shared" si="1"/>
        <v>0</v>
      </c>
    </row>
    <row r="26" spans="1:14" x14ac:dyDescent="0.3">
      <c r="A26" s="3" t="s">
        <v>49</v>
      </c>
      <c r="B26" s="3">
        <v>121</v>
      </c>
      <c r="C26" s="3">
        <v>9</v>
      </c>
      <c r="D26" s="3" t="s">
        <v>176</v>
      </c>
      <c r="E26" s="3">
        <v>4</v>
      </c>
      <c r="F26" s="3">
        <v>0</v>
      </c>
      <c r="G26" s="3">
        <v>4</v>
      </c>
      <c r="H26" s="3">
        <v>6</v>
      </c>
      <c r="I26" s="3">
        <v>584</v>
      </c>
      <c r="J26" s="3">
        <v>10</v>
      </c>
      <c r="K26" s="3">
        <v>0</v>
      </c>
      <c r="L26" s="3" t="s">
        <v>432</v>
      </c>
      <c r="M26" s="3" t="str">
        <f t="shared" si="0"/>
        <v xml:space="preserve">   100 g</v>
      </c>
      <c r="N26" s="3">
        <f t="shared" si="1"/>
        <v>0</v>
      </c>
    </row>
    <row r="27" spans="1:14" hidden="1" x14ac:dyDescent="0.3">
      <c r="A27" s="3" t="s">
        <v>75</v>
      </c>
      <c r="L27" s="3" t="s">
        <v>432</v>
      </c>
      <c r="M27" s="3" t="str">
        <f t="shared" si="0"/>
        <v xml:space="preserve">  Falcon Proteína Vegetal Chocolate</v>
      </c>
      <c r="N27" s="3">
        <f t="shared" si="1"/>
        <v>0</v>
      </c>
    </row>
    <row r="28" spans="1:14" hidden="1" x14ac:dyDescent="0.3">
      <c r="A28" s="3" t="s">
        <v>31</v>
      </c>
      <c r="B28" s="3">
        <v>110</v>
      </c>
      <c r="C28" s="3">
        <v>1</v>
      </c>
      <c r="E28" s="3">
        <v>3</v>
      </c>
      <c r="F28" s="3">
        <v>2</v>
      </c>
      <c r="G28" s="3" t="s">
        <v>32</v>
      </c>
      <c r="H28" s="3">
        <v>22</v>
      </c>
      <c r="I28" s="3">
        <v>250</v>
      </c>
      <c r="L28" s="3" t="s">
        <v>432</v>
      </c>
      <c r="M28" s="3" t="str">
        <f t="shared" si="0"/>
        <v xml:space="preserve">   1 porción, 30 g</v>
      </c>
      <c r="N28" s="3">
        <f t="shared" si="1"/>
        <v>0</v>
      </c>
    </row>
    <row r="29" spans="1:14" hidden="1" x14ac:dyDescent="0.3">
      <c r="A29" s="3" t="s">
        <v>33</v>
      </c>
      <c r="L29" s="3" t="s">
        <v>432</v>
      </c>
      <c r="M29" s="3" t="str">
        <f t="shared" si="0"/>
        <v xml:space="preserve"> Almuerzo</v>
      </c>
      <c r="N29" s="3">
        <f t="shared" si="1"/>
        <v>0</v>
      </c>
    </row>
    <row r="30" spans="1:14" hidden="1" x14ac:dyDescent="0.3">
      <c r="A30" s="3" t="s">
        <v>59</v>
      </c>
      <c r="B30" s="3">
        <v>359</v>
      </c>
      <c r="C30" s="3" t="s">
        <v>177</v>
      </c>
      <c r="D30" s="4">
        <v>1899</v>
      </c>
      <c r="E30" s="3" t="s">
        <v>178</v>
      </c>
      <c r="F30" s="3" t="s">
        <v>179</v>
      </c>
      <c r="G30" s="3" t="s">
        <v>180</v>
      </c>
      <c r="H30" s="3" t="s">
        <v>181</v>
      </c>
      <c r="I30" s="3">
        <v>674</v>
      </c>
      <c r="J30" s="3">
        <v>58</v>
      </c>
      <c r="K30" s="3">
        <v>910</v>
      </c>
      <c r="L30" s="3" t="s">
        <v>432</v>
      </c>
      <c r="M30" s="3" t="str">
        <f t="shared" si="0"/>
        <v xml:space="preserve">  Yoghurt Natural sin Azúcar</v>
      </c>
      <c r="N30" s="3">
        <f t="shared" si="1"/>
        <v>1</v>
      </c>
    </row>
    <row r="31" spans="1:14" hidden="1" x14ac:dyDescent="0.3">
      <c r="A31" s="3" t="s">
        <v>65</v>
      </c>
      <c r="B31" s="3">
        <v>46</v>
      </c>
      <c r="C31" s="3" t="s">
        <v>66</v>
      </c>
      <c r="D31" s="3" t="s">
        <v>67</v>
      </c>
      <c r="E31" s="3" t="s">
        <v>68</v>
      </c>
      <c r="F31" s="3">
        <v>0</v>
      </c>
      <c r="G31" s="3" t="s">
        <v>68</v>
      </c>
      <c r="H31" s="3" t="s">
        <v>69</v>
      </c>
      <c r="L31" s="3" t="s">
        <v>432</v>
      </c>
      <c r="M31" s="3" t="str">
        <f t="shared" si="0"/>
        <v xml:space="preserve">   1/2 x 1/2 taza, 62.5 g</v>
      </c>
      <c r="N31" s="3">
        <f t="shared" si="1"/>
        <v>0</v>
      </c>
    </row>
    <row r="32" spans="1:14" hidden="1" x14ac:dyDescent="0.3">
      <c r="A32" s="3" t="s">
        <v>70</v>
      </c>
      <c r="L32" s="3" t="s">
        <v>432</v>
      </c>
      <c r="M32" s="3" t="str">
        <f t="shared" si="0"/>
        <v xml:space="preserve">  Pechuga de Pollo a la Plancha</v>
      </c>
      <c r="N32" s="3">
        <f t="shared" si="1"/>
        <v>0</v>
      </c>
    </row>
    <row r="33" spans="1:14" x14ac:dyDescent="0.3">
      <c r="A33" s="3" t="s">
        <v>71</v>
      </c>
      <c r="B33" s="3">
        <v>111</v>
      </c>
      <c r="C33" s="3" t="s">
        <v>72</v>
      </c>
      <c r="D33" s="3" t="s">
        <v>73</v>
      </c>
      <c r="E33" s="3">
        <v>0</v>
      </c>
      <c r="F33" s="3">
        <v>0</v>
      </c>
      <c r="G33" s="3">
        <v>0</v>
      </c>
      <c r="H33" s="3" t="s">
        <v>74</v>
      </c>
      <c r="I33" s="3">
        <v>149</v>
      </c>
      <c r="J33" s="3">
        <v>58</v>
      </c>
      <c r="K33" s="3">
        <v>222</v>
      </c>
      <c r="L33" s="3" t="s">
        <v>432</v>
      </c>
      <c r="M33" s="3" t="str">
        <f t="shared" si="0"/>
        <v xml:space="preserve">   100 g</v>
      </c>
      <c r="N33" s="3">
        <f t="shared" si="1"/>
        <v>0</v>
      </c>
    </row>
    <row r="34" spans="1:14" hidden="1" x14ac:dyDescent="0.3">
      <c r="A34" s="3" t="s">
        <v>75</v>
      </c>
      <c r="L34" s="3" t="s">
        <v>432</v>
      </c>
      <c r="M34" s="3" t="str">
        <f t="shared" si="0"/>
        <v xml:space="preserve">  Crutones Sabor Italiano</v>
      </c>
      <c r="N34" s="3">
        <f t="shared" si="1"/>
        <v>0</v>
      </c>
    </row>
    <row r="35" spans="1:14" x14ac:dyDescent="0.3">
      <c r="A35" s="3" t="s">
        <v>76</v>
      </c>
      <c r="B35" s="3">
        <v>31</v>
      </c>
      <c r="C35" s="3" t="s">
        <v>77</v>
      </c>
      <c r="D35" s="3" t="s">
        <v>78</v>
      </c>
      <c r="E35" s="3" t="s">
        <v>79</v>
      </c>
      <c r="F35" s="3">
        <v>0</v>
      </c>
      <c r="G35" s="3" t="s">
        <v>80</v>
      </c>
      <c r="H35" s="3" t="s">
        <v>81</v>
      </c>
      <c r="I35" s="3">
        <v>80</v>
      </c>
      <c r="J35" s="3">
        <v>0</v>
      </c>
      <c r="K35" s="3">
        <v>0</v>
      </c>
      <c r="L35" s="3" t="s">
        <v>432</v>
      </c>
      <c r="M35" s="3" t="str">
        <f t="shared" si="0"/>
        <v xml:space="preserve">   20 piezas, 7 g</v>
      </c>
      <c r="N35" s="3">
        <f t="shared" si="1"/>
        <v>0</v>
      </c>
    </row>
    <row r="36" spans="1:14" hidden="1" x14ac:dyDescent="0.3">
      <c r="A36" s="3" t="s">
        <v>82</v>
      </c>
      <c r="L36" s="3" t="s">
        <v>432</v>
      </c>
      <c r="M36" s="3" t="str">
        <f t="shared" si="0"/>
        <v xml:space="preserve">  Chipotles Molidos</v>
      </c>
      <c r="N36" s="3">
        <f t="shared" si="1"/>
        <v>0</v>
      </c>
    </row>
    <row r="37" spans="1:14" hidden="1" x14ac:dyDescent="0.3">
      <c r="A37" s="3" t="s">
        <v>83</v>
      </c>
      <c r="B37" s="3">
        <v>17</v>
      </c>
      <c r="C37" s="3" t="s">
        <v>38</v>
      </c>
      <c r="D37" s="3">
        <v>0</v>
      </c>
      <c r="E37" s="3">
        <v>3</v>
      </c>
      <c r="F37" s="3" t="s">
        <v>84</v>
      </c>
      <c r="G37" s="3">
        <v>2</v>
      </c>
      <c r="H37" s="3" t="s">
        <v>38</v>
      </c>
      <c r="I37" s="3">
        <v>400</v>
      </c>
      <c r="L37" s="3" t="s">
        <v>432</v>
      </c>
      <c r="M37" s="3" t="str">
        <f t="shared" si="0"/>
        <v xml:space="preserve">   1 cucharada, 30 g</v>
      </c>
      <c r="N37" s="3">
        <f t="shared" si="1"/>
        <v>0</v>
      </c>
    </row>
    <row r="38" spans="1:14" hidden="1" x14ac:dyDescent="0.3">
      <c r="A38" s="3" t="s">
        <v>85</v>
      </c>
      <c r="L38" s="3" t="s">
        <v>432</v>
      </c>
      <c r="M38" s="3" t="str">
        <f t="shared" si="0"/>
        <v xml:space="preserve">  Ensalada de Lechuga con Verduras Variadas (Incluidos los Tomates y/o Zanahorias)</v>
      </c>
      <c r="N38" s="3">
        <f t="shared" si="1"/>
        <v>0</v>
      </c>
    </row>
    <row r="39" spans="1:14" x14ac:dyDescent="0.3">
      <c r="A39" s="3" t="s">
        <v>86</v>
      </c>
      <c r="B39" s="3">
        <v>25</v>
      </c>
      <c r="C39" s="3" t="s">
        <v>87</v>
      </c>
      <c r="D39" s="3" t="s">
        <v>88</v>
      </c>
      <c r="E39" s="3" t="s">
        <v>60</v>
      </c>
      <c r="F39" s="3">
        <v>2</v>
      </c>
      <c r="G39" s="3" t="s">
        <v>89</v>
      </c>
      <c r="H39" s="3" t="s">
        <v>90</v>
      </c>
      <c r="I39" s="3">
        <v>28</v>
      </c>
      <c r="J39" s="3">
        <v>0</v>
      </c>
      <c r="K39" s="3">
        <v>291</v>
      </c>
      <c r="L39" s="3" t="s">
        <v>432</v>
      </c>
      <c r="M39" s="3" t="str">
        <f t="shared" si="0"/>
        <v xml:space="preserve">   2 tazas</v>
      </c>
      <c r="N39" s="3">
        <f t="shared" si="1"/>
        <v>0</v>
      </c>
    </row>
    <row r="40" spans="1:14" hidden="1" x14ac:dyDescent="0.3">
      <c r="A40" s="3" t="s">
        <v>91</v>
      </c>
      <c r="L40" s="3" t="s">
        <v>432</v>
      </c>
      <c r="M40" s="3" t="str">
        <f t="shared" si="0"/>
        <v xml:space="preserve">  Manzana</v>
      </c>
      <c r="N40" s="3">
        <f t="shared" si="1"/>
        <v>0</v>
      </c>
    </row>
    <row r="41" spans="1:14" x14ac:dyDescent="0.3">
      <c r="A41" s="3" t="s">
        <v>92</v>
      </c>
      <c r="B41" s="3">
        <v>18</v>
      </c>
      <c r="C41" s="3" t="s">
        <v>93</v>
      </c>
      <c r="D41" s="3" t="s">
        <v>94</v>
      </c>
      <c r="E41" s="3" t="s">
        <v>95</v>
      </c>
      <c r="F41" s="3" t="s">
        <v>96</v>
      </c>
      <c r="G41" s="3" t="s">
        <v>97</v>
      </c>
      <c r="H41" s="3" t="s">
        <v>98</v>
      </c>
      <c r="I41" s="3">
        <v>0</v>
      </c>
      <c r="J41" s="3">
        <v>0</v>
      </c>
      <c r="K41" s="3">
        <v>37</v>
      </c>
      <c r="L41" s="3" t="s">
        <v>432</v>
      </c>
      <c r="M41" s="3" t="str">
        <f t="shared" si="0"/>
        <v xml:space="preserve">   1/4 un/una mediana (7 cm de diámetro) (aprox. 3 por 450 g)</v>
      </c>
      <c r="N41" s="3">
        <f t="shared" si="1"/>
        <v>0</v>
      </c>
    </row>
    <row r="42" spans="1:14" hidden="1" x14ac:dyDescent="0.3">
      <c r="A42" s="3" t="s">
        <v>99</v>
      </c>
      <c r="L42" s="3" t="s">
        <v>432</v>
      </c>
      <c r="M42" s="3" t="str">
        <f t="shared" si="0"/>
        <v xml:space="preserve">  D'Gari Gelatina de Agua</v>
      </c>
      <c r="N42" s="3">
        <f t="shared" si="1"/>
        <v>0</v>
      </c>
    </row>
    <row r="43" spans="1:14" x14ac:dyDescent="0.3">
      <c r="A43" s="3" t="s">
        <v>182</v>
      </c>
      <c r="B43" s="3">
        <v>56</v>
      </c>
      <c r="C43" s="3">
        <v>0</v>
      </c>
      <c r="D43" s="3">
        <v>0</v>
      </c>
      <c r="E43" s="3" t="s">
        <v>109</v>
      </c>
      <c r="F43" s="3">
        <v>0</v>
      </c>
      <c r="G43" s="3" t="s">
        <v>109</v>
      </c>
      <c r="H43" s="3" t="s">
        <v>133</v>
      </c>
      <c r="I43" s="3">
        <v>13</v>
      </c>
      <c r="J43" s="3">
        <v>0</v>
      </c>
      <c r="L43" s="3" t="s">
        <v>432</v>
      </c>
      <c r="M43" s="3" t="str">
        <f t="shared" si="0"/>
        <v xml:space="preserve">   	1 porción, 130 g</v>
      </c>
      <c r="N43" s="3">
        <f t="shared" si="1"/>
        <v>0</v>
      </c>
    </row>
    <row r="44" spans="1:14" hidden="1" x14ac:dyDescent="0.3">
      <c r="A44" s="3" t="s">
        <v>183</v>
      </c>
      <c r="L44" s="3" t="s">
        <v>432</v>
      </c>
      <c r="M44" s="3" t="str">
        <f t="shared" si="0"/>
        <v xml:space="preserve">  Papayas</v>
      </c>
      <c r="N44" s="3">
        <f t="shared" si="1"/>
        <v>0</v>
      </c>
    </row>
    <row r="45" spans="1:14" x14ac:dyDescent="0.3">
      <c r="A45" s="3" t="s">
        <v>130</v>
      </c>
      <c r="B45" s="3">
        <v>55</v>
      </c>
      <c r="C45" s="3" t="s">
        <v>131</v>
      </c>
      <c r="D45" s="3" t="s">
        <v>93</v>
      </c>
      <c r="E45" s="3" t="s">
        <v>132</v>
      </c>
      <c r="F45" s="3" t="s">
        <v>133</v>
      </c>
      <c r="G45" s="3" t="s">
        <v>134</v>
      </c>
      <c r="H45" s="3" t="s">
        <v>135</v>
      </c>
      <c r="I45" s="3">
        <v>4</v>
      </c>
      <c r="J45" s="3">
        <v>0</v>
      </c>
      <c r="K45" s="3">
        <v>360</v>
      </c>
      <c r="L45" s="3" t="s">
        <v>432</v>
      </c>
      <c r="M45" s="3" t="str">
        <f t="shared" si="0"/>
        <v xml:space="preserve">   1 taza, cubitos</v>
      </c>
      <c r="N45" s="3">
        <f t="shared" si="1"/>
        <v>0</v>
      </c>
    </row>
    <row r="46" spans="1:14" hidden="1" x14ac:dyDescent="0.3">
      <c r="A46" s="3" t="s">
        <v>136</v>
      </c>
      <c r="L46" s="3" t="s">
        <v>432</v>
      </c>
      <c r="M46" s="3" t="str">
        <f t="shared" si="0"/>
        <v xml:space="preserve"> Cena</v>
      </c>
      <c r="N46" s="3">
        <f t="shared" si="1"/>
        <v>0</v>
      </c>
    </row>
    <row r="47" spans="1:14" hidden="1" x14ac:dyDescent="0.3">
      <c r="A47" s="3" t="s">
        <v>106</v>
      </c>
      <c r="B47" s="3">
        <v>260</v>
      </c>
      <c r="C47" s="3" t="s">
        <v>184</v>
      </c>
      <c r="D47" s="3" t="s">
        <v>185</v>
      </c>
      <c r="E47" s="3" t="s">
        <v>186</v>
      </c>
      <c r="F47" s="3" t="s">
        <v>187</v>
      </c>
      <c r="G47" s="3" t="s">
        <v>188</v>
      </c>
      <c r="H47" s="3" t="s">
        <v>189</v>
      </c>
      <c r="I47" s="3">
        <v>122</v>
      </c>
      <c r="J47" s="3">
        <v>24</v>
      </c>
      <c r="K47" s="3">
        <v>516</v>
      </c>
      <c r="L47" s="3" t="s">
        <v>432</v>
      </c>
      <c r="M47" s="3" t="str">
        <f t="shared" si="0"/>
        <v xml:space="preserve">  Hojuelas de Avena Natural (30g)</v>
      </c>
      <c r="N47" s="3">
        <f t="shared" si="1"/>
        <v>1</v>
      </c>
    </row>
    <row r="48" spans="1:14" x14ac:dyDescent="0.3">
      <c r="A48" s="3" t="s">
        <v>190</v>
      </c>
      <c r="B48" s="3">
        <v>71</v>
      </c>
      <c r="C48" s="3" t="s">
        <v>120</v>
      </c>
      <c r="D48" s="3" t="s">
        <v>32</v>
      </c>
      <c r="E48" s="3" t="s">
        <v>191</v>
      </c>
      <c r="F48" s="3" t="s">
        <v>192</v>
      </c>
      <c r="G48" s="3" t="s">
        <v>78</v>
      </c>
      <c r="H48" s="3" t="s">
        <v>193</v>
      </c>
      <c r="I48" s="3">
        <v>0</v>
      </c>
      <c r="J48" s="3">
        <v>0</v>
      </c>
      <c r="L48" s="3" t="s">
        <v>432</v>
      </c>
      <c r="M48" s="3" t="str">
        <f t="shared" si="0"/>
        <v xml:space="preserve">   1/2 taza, 30 g</v>
      </c>
      <c r="N48" s="3">
        <f t="shared" si="1"/>
        <v>0</v>
      </c>
    </row>
    <row r="49" spans="1:14" hidden="1" x14ac:dyDescent="0.3">
      <c r="A49" s="3" t="s">
        <v>194</v>
      </c>
      <c r="L49" s="3" t="s">
        <v>432</v>
      </c>
      <c r="M49" s="3" t="str">
        <f t="shared" si="0"/>
        <v xml:space="preserve">  Fresas Congeladas</v>
      </c>
      <c r="N49" s="3">
        <f t="shared" si="1"/>
        <v>0</v>
      </c>
    </row>
    <row r="50" spans="1:14" hidden="1" x14ac:dyDescent="0.3">
      <c r="A50" s="3" t="s">
        <v>195</v>
      </c>
      <c r="B50" s="3">
        <v>36</v>
      </c>
      <c r="C50" s="3">
        <v>0</v>
      </c>
      <c r="D50" s="3">
        <v>0</v>
      </c>
      <c r="E50" s="3" t="s">
        <v>196</v>
      </c>
      <c r="F50" s="3">
        <v>2</v>
      </c>
      <c r="G50" s="3" t="s">
        <v>197</v>
      </c>
      <c r="H50" s="3">
        <v>0</v>
      </c>
      <c r="L50" s="3" t="s">
        <v>432</v>
      </c>
      <c r="M50" s="3" t="str">
        <f t="shared" si="0"/>
        <v xml:space="preserve">   100 g</v>
      </c>
      <c r="N50" s="3">
        <f t="shared" si="1"/>
        <v>0</v>
      </c>
    </row>
    <row r="51" spans="1:14" hidden="1" x14ac:dyDescent="0.3">
      <c r="A51" s="3" t="s">
        <v>75</v>
      </c>
      <c r="L51" s="3" t="s">
        <v>432</v>
      </c>
      <c r="M51" s="3" t="str">
        <f t="shared" si="0"/>
        <v xml:space="preserve">  Espinacas</v>
      </c>
      <c r="N51" s="3">
        <f t="shared" si="1"/>
        <v>0</v>
      </c>
    </row>
    <row r="52" spans="1:14" x14ac:dyDescent="0.3">
      <c r="A52" s="3" t="s">
        <v>198</v>
      </c>
      <c r="B52" s="3">
        <v>7</v>
      </c>
      <c r="C52" s="3" t="s">
        <v>43</v>
      </c>
      <c r="D52" s="3" t="s">
        <v>199</v>
      </c>
      <c r="E52" s="3" t="s">
        <v>200</v>
      </c>
      <c r="F52" s="3" t="s">
        <v>201</v>
      </c>
      <c r="G52" s="3" t="s">
        <v>36</v>
      </c>
      <c r="H52" s="3" t="s">
        <v>202</v>
      </c>
      <c r="I52" s="3">
        <v>24</v>
      </c>
      <c r="J52" s="3">
        <v>0</v>
      </c>
      <c r="K52" s="3">
        <v>167</v>
      </c>
      <c r="L52" s="3" t="s">
        <v>432</v>
      </c>
      <c r="M52" s="3" t="str">
        <f t="shared" si="0"/>
        <v xml:space="preserve">   1 taza</v>
      </c>
      <c r="N52" s="3">
        <f t="shared" si="1"/>
        <v>0</v>
      </c>
    </row>
    <row r="53" spans="1:14" hidden="1" x14ac:dyDescent="0.3">
      <c r="A53" s="3" t="s">
        <v>203</v>
      </c>
      <c r="L53" s="3" t="s">
        <v>432</v>
      </c>
      <c r="M53" s="3" t="str">
        <f t="shared" si="0"/>
        <v xml:space="preserve">  Leche Entera</v>
      </c>
      <c r="N53" s="3">
        <f t="shared" si="1"/>
        <v>0</v>
      </c>
    </row>
    <row r="54" spans="1:14" x14ac:dyDescent="0.3">
      <c r="A54" s="3" t="s">
        <v>204</v>
      </c>
      <c r="B54" s="3">
        <v>146</v>
      </c>
      <c r="C54" s="3" t="s">
        <v>205</v>
      </c>
      <c r="D54" s="4">
        <v>4551</v>
      </c>
      <c r="E54" s="3" t="s">
        <v>206</v>
      </c>
      <c r="F54" s="3">
        <v>0</v>
      </c>
      <c r="G54" s="3" t="s">
        <v>207</v>
      </c>
      <c r="H54" s="3" t="s">
        <v>208</v>
      </c>
      <c r="I54" s="3">
        <v>98</v>
      </c>
      <c r="J54" s="3">
        <v>24</v>
      </c>
      <c r="K54" s="3">
        <v>349</v>
      </c>
      <c r="L54" s="3" t="s">
        <v>432</v>
      </c>
      <c r="M54" s="3" t="str">
        <f t="shared" si="0"/>
        <v xml:space="preserve">   1 taza</v>
      </c>
      <c r="N54" s="3">
        <f t="shared" si="1"/>
        <v>0</v>
      </c>
    </row>
    <row r="55" spans="1:14" hidden="1" x14ac:dyDescent="0.3">
      <c r="A55" s="3" t="s">
        <v>203</v>
      </c>
      <c r="L55" s="3" t="s">
        <v>432</v>
      </c>
      <c r="M55" s="3" t="str">
        <f t="shared" si="0"/>
        <v xml:space="preserve"> Pasa Bocas / Otros</v>
      </c>
      <c r="N55" s="3">
        <f t="shared" si="1"/>
        <v>0</v>
      </c>
    </row>
    <row r="56" spans="1:14" hidden="1" x14ac:dyDescent="0.3">
      <c r="A56" s="3" t="s">
        <v>137</v>
      </c>
      <c r="L56" s="3" t="s">
        <v>432</v>
      </c>
      <c r="M56" s="3">
        <f t="shared" si="0"/>
        <v>0</v>
      </c>
      <c r="N56" s="3">
        <f t="shared" si="1"/>
        <v>1</v>
      </c>
    </row>
  </sheetData>
  <autoFilter ref="A5:N56" xr:uid="{FA32EE8B-A8F9-4FD3-8BE3-99B5D484909A}">
    <filterColumn colId="9">
      <customFilters>
        <customFilter operator="notEqual" val=" "/>
      </customFilters>
    </filterColumn>
    <filterColumn colId="13">
      <filters>
        <filter val="0"/>
      </filters>
    </filterColumn>
  </autoFilter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392EE-3D73-4CC1-B2C4-8FD9C8F2354C}">
  <sheetPr codeName="Hoja7" filterMode="1"/>
  <dimension ref="A1:N46"/>
  <sheetViews>
    <sheetView workbookViewId="0">
      <selection activeCell="N10" sqref="N10:N46"/>
    </sheetView>
  </sheetViews>
  <sheetFormatPr baseColWidth="10" defaultRowHeight="14.4" x14ac:dyDescent="0.3"/>
  <cols>
    <col min="1" max="16384" width="11.19921875" style="3"/>
  </cols>
  <sheetData>
    <row r="1" spans="1:14" x14ac:dyDescent="0.3">
      <c r="A1" s="3" t="s">
        <v>13</v>
      </c>
    </row>
    <row r="2" spans="1:14" x14ac:dyDescent="0.3">
      <c r="A2" s="3" t="s">
        <v>14</v>
      </c>
      <c r="B2" s="3" t="s">
        <v>15</v>
      </c>
    </row>
    <row r="3" spans="1:14" x14ac:dyDescent="0.3">
      <c r="A3" s="3" t="s">
        <v>13</v>
      </c>
    </row>
    <row r="5" spans="1:14" x14ac:dyDescent="0.3">
      <c r="A5" s="3" t="s">
        <v>13</v>
      </c>
    </row>
    <row r="6" spans="1:14" hidden="1" x14ac:dyDescent="0.3">
      <c r="A6" s="3" t="s">
        <v>16</v>
      </c>
    </row>
    <row r="7" spans="1:14" hidden="1" x14ac:dyDescent="0.3">
      <c r="A7" s="3" t="s">
        <v>13</v>
      </c>
    </row>
    <row r="8" spans="1:14" hidden="1" x14ac:dyDescent="0.3">
      <c r="A8" s="3" t="s">
        <v>0</v>
      </c>
      <c r="B8" s="3" t="s">
        <v>1</v>
      </c>
      <c r="C8" s="3" t="s">
        <v>2</v>
      </c>
      <c r="D8" s="3" t="s">
        <v>3</v>
      </c>
      <c r="E8" s="3" t="s">
        <v>4</v>
      </c>
      <c r="F8" s="3" t="s">
        <v>5</v>
      </c>
      <c r="G8" s="3" t="s">
        <v>17</v>
      </c>
      <c r="H8" s="3" t="s">
        <v>6</v>
      </c>
      <c r="I8" s="3" t="s">
        <v>7</v>
      </c>
      <c r="J8" s="3" t="s">
        <v>8</v>
      </c>
      <c r="K8" s="3" t="s">
        <v>9</v>
      </c>
      <c r="L8" s="3" t="s">
        <v>0</v>
      </c>
      <c r="M8" s="3" t="s">
        <v>10</v>
      </c>
      <c r="N8" s="3" t="s">
        <v>375</v>
      </c>
    </row>
    <row r="9" spans="1:14" hidden="1" x14ac:dyDescent="0.3">
      <c r="A9" s="3" t="s">
        <v>374</v>
      </c>
      <c r="B9" s="3" t="str">
        <f>MID(A9,FIND(" ",A9,1)+1,6)</f>
        <v>260428</v>
      </c>
      <c r="C9" s="3" t="str">
        <f>RIGHT(B9,2) &amp; "/" &amp; MID(B9,3,2) &amp; "/2026"</f>
        <v>28/04/2026</v>
      </c>
    </row>
    <row r="10" spans="1:14" x14ac:dyDescent="0.3">
      <c r="A10" s="3" t="s">
        <v>18</v>
      </c>
      <c r="B10" s="3">
        <v>1138</v>
      </c>
      <c r="C10" s="3" t="s">
        <v>19</v>
      </c>
      <c r="D10" s="4">
        <v>9537</v>
      </c>
      <c r="E10" s="3" t="s">
        <v>20</v>
      </c>
      <c r="F10" s="3" t="s">
        <v>21</v>
      </c>
      <c r="G10" s="3" t="s">
        <v>22</v>
      </c>
      <c r="H10" s="3" t="s">
        <v>23</v>
      </c>
      <c r="I10" s="3" t="s">
        <v>24</v>
      </c>
      <c r="J10" s="3">
        <v>84</v>
      </c>
      <c r="K10" s="3">
        <v>1548</v>
      </c>
      <c r="L10" s="3" t="s">
        <v>433</v>
      </c>
      <c r="M10" s="3" t="str">
        <f>A11</f>
        <v xml:space="preserve"> Desayuno</v>
      </c>
      <c r="N10" s="3">
        <f>COUNTIF(A10,"*Desayuno*")+COUNTIF(A10,"*Almuerzo*")+COUNTIF(A10,"*Cena*")+COUNTIF(A10,"*Pasa Bocas*")+COUNTIF(A10,"*Total*")</f>
        <v>0</v>
      </c>
    </row>
    <row r="11" spans="1:14" hidden="1" x14ac:dyDescent="0.3">
      <c r="A11" s="3" t="s">
        <v>25</v>
      </c>
      <c r="B11" s="3">
        <v>448</v>
      </c>
      <c r="C11" s="3" t="s">
        <v>26</v>
      </c>
      <c r="D11" s="4">
        <v>6034</v>
      </c>
      <c r="E11" s="3" t="s">
        <v>27</v>
      </c>
      <c r="F11" s="3" t="s">
        <v>28</v>
      </c>
      <c r="G11" s="3" t="s">
        <v>29</v>
      </c>
      <c r="H11" s="3" t="s">
        <v>30</v>
      </c>
      <c r="I11" s="3">
        <v>1174</v>
      </c>
      <c r="J11" s="3">
        <v>26</v>
      </c>
      <c r="K11" s="3">
        <v>595</v>
      </c>
      <c r="L11" s="3" t="s">
        <v>433</v>
      </c>
      <c r="M11" s="3" t="str">
        <f t="shared" ref="M11:M46" si="0">A12</f>
        <v xml:space="preserve">  Falcon Proteína Vegetal Chocolate</v>
      </c>
      <c r="N11" s="3">
        <f t="shared" ref="N11:N46" si="1">COUNTIF(A11,"*Desayuno*")+COUNTIF(A11,"*Almuerzo*")+COUNTIF(A11,"*Cena*")+COUNTIF(A11,"*Pasa Bocas*")+COUNTIF(A11,"*Total*")</f>
        <v>1</v>
      </c>
    </row>
    <row r="12" spans="1:14" hidden="1" x14ac:dyDescent="0.3">
      <c r="A12" s="3" t="s">
        <v>31</v>
      </c>
      <c r="B12" s="3">
        <v>110</v>
      </c>
      <c r="C12" s="3">
        <v>1</v>
      </c>
      <c r="E12" s="3">
        <v>3</v>
      </c>
      <c r="F12" s="3">
        <v>2</v>
      </c>
      <c r="G12" s="3" t="s">
        <v>32</v>
      </c>
      <c r="H12" s="3">
        <v>22</v>
      </c>
      <c r="I12" s="3">
        <v>250</v>
      </c>
      <c r="L12" s="3" t="s">
        <v>433</v>
      </c>
      <c r="M12" s="3" t="str">
        <f t="shared" si="0"/>
        <v xml:space="preserve">   1 porción, 30 g</v>
      </c>
      <c r="N12" s="3">
        <f t="shared" si="1"/>
        <v>0</v>
      </c>
    </row>
    <row r="13" spans="1:14" hidden="1" x14ac:dyDescent="0.3">
      <c r="A13" s="3" t="s">
        <v>33</v>
      </c>
      <c r="L13" s="3" t="s">
        <v>433</v>
      </c>
      <c r="M13" s="3" t="str">
        <f t="shared" si="0"/>
        <v xml:space="preserve">  Bolillo</v>
      </c>
      <c r="N13" s="3">
        <f t="shared" si="1"/>
        <v>0</v>
      </c>
    </row>
    <row r="14" spans="1:14" x14ac:dyDescent="0.3">
      <c r="A14" s="3" t="s">
        <v>34</v>
      </c>
      <c r="B14" s="3">
        <v>37</v>
      </c>
      <c r="C14" s="3" t="s">
        <v>35</v>
      </c>
      <c r="D14" s="3" t="s">
        <v>36</v>
      </c>
      <c r="E14" s="3" t="s">
        <v>37</v>
      </c>
      <c r="F14" s="3" t="s">
        <v>38</v>
      </c>
      <c r="G14" s="3" t="s">
        <v>39</v>
      </c>
      <c r="H14" s="3" t="s">
        <v>40</v>
      </c>
      <c r="I14" s="3">
        <v>82</v>
      </c>
      <c r="J14" s="3">
        <v>0</v>
      </c>
      <c r="K14" s="3">
        <v>15</v>
      </c>
      <c r="L14" s="3" t="s">
        <v>433</v>
      </c>
      <c r="M14" s="3" t="str">
        <f t="shared" si="0"/>
        <v xml:space="preserve">   0.3 un/una mediano</v>
      </c>
      <c r="N14" s="3">
        <f t="shared" si="1"/>
        <v>0</v>
      </c>
    </row>
    <row r="15" spans="1:14" hidden="1" x14ac:dyDescent="0.3">
      <c r="A15" s="3" t="s">
        <v>41</v>
      </c>
      <c r="L15" s="3" t="s">
        <v>433</v>
      </c>
      <c r="M15" s="3" t="str">
        <f t="shared" si="0"/>
        <v xml:space="preserve">  Plátano</v>
      </c>
      <c r="N15" s="3">
        <f t="shared" si="1"/>
        <v>0</v>
      </c>
    </row>
    <row r="16" spans="1:14" x14ac:dyDescent="0.3">
      <c r="A16" s="3" t="s">
        <v>42</v>
      </c>
      <c r="B16" s="3">
        <v>32</v>
      </c>
      <c r="C16" s="3" t="s">
        <v>43</v>
      </c>
      <c r="D16" s="3" t="s">
        <v>39</v>
      </c>
      <c r="E16" s="3" t="s">
        <v>44</v>
      </c>
      <c r="F16" s="3" t="s">
        <v>45</v>
      </c>
      <c r="G16" s="3" t="s">
        <v>46</v>
      </c>
      <c r="H16" s="3" t="s">
        <v>47</v>
      </c>
      <c r="I16" s="3">
        <v>0</v>
      </c>
      <c r="J16" s="3">
        <v>0</v>
      </c>
      <c r="K16" s="3">
        <v>127</v>
      </c>
      <c r="L16" s="3" t="s">
        <v>433</v>
      </c>
      <c r="M16" s="3" t="str">
        <f t="shared" si="0"/>
        <v xml:space="preserve">   0.3 un/una mediano (18 cm - 20 cm de largo)</v>
      </c>
      <c r="N16" s="3">
        <f t="shared" si="1"/>
        <v>0</v>
      </c>
    </row>
    <row r="17" spans="1:14" hidden="1" x14ac:dyDescent="0.3">
      <c r="A17" s="3" t="s">
        <v>48</v>
      </c>
      <c r="L17" s="3" t="s">
        <v>433</v>
      </c>
      <c r="M17" s="3" t="str">
        <f t="shared" si="0"/>
        <v xml:space="preserve">  Bionda Requesón</v>
      </c>
      <c r="N17" s="3">
        <f t="shared" si="1"/>
        <v>0</v>
      </c>
    </row>
    <row r="18" spans="1:14" x14ac:dyDescent="0.3">
      <c r="A18" s="3" t="s">
        <v>49</v>
      </c>
      <c r="B18" s="3">
        <v>78</v>
      </c>
      <c r="C18" s="3" t="s">
        <v>50</v>
      </c>
      <c r="D18" s="3" t="s">
        <v>51</v>
      </c>
      <c r="E18" s="3">
        <v>2</v>
      </c>
      <c r="F18" s="3">
        <v>0</v>
      </c>
      <c r="G18" s="3">
        <v>2</v>
      </c>
      <c r="H18" s="3" t="s">
        <v>52</v>
      </c>
      <c r="I18" s="3">
        <v>308</v>
      </c>
      <c r="J18" s="3">
        <v>20</v>
      </c>
      <c r="L18" s="3" t="s">
        <v>433</v>
      </c>
      <c r="M18" s="3" t="str">
        <f t="shared" si="0"/>
        <v xml:space="preserve">   2 x 1 porción, 60 g</v>
      </c>
      <c r="N18" s="3">
        <f t="shared" si="1"/>
        <v>0</v>
      </c>
    </row>
    <row r="19" spans="1:14" hidden="1" x14ac:dyDescent="0.3">
      <c r="A19" s="3" t="s">
        <v>53</v>
      </c>
      <c r="L19" s="3" t="s">
        <v>433</v>
      </c>
      <c r="M19" s="3" t="str">
        <f t="shared" si="0"/>
        <v xml:space="preserve">  Frijoles Cocidos</v>
      </c>
      <c r="N19" s="3">
        <f t="shared" si="1"/>
        <v>0</v>
      </c>
    </row>
    <row r="20" spans="1:14" x14ac:dyDescent="0.3">
      <c r="A20" s="3" t="s">
        <v>54</v>
      </c>
      <c r="B20" s="3">
        <v>191</v>
      </c>
      <c r="C20" s="3" t="s">
        <v>55</v>
      </c>
      <c r="D20" s="4">
        <v>2464</v>
      </c>
      <c r="E20" s="3" t="s">
        <v>56</v>
      </c>
      <c r="F20" s="3">
        <v>7</v>
      </c>
      <c r="H20" s="3" t="s">
        <v>57</v>
      </c>
      <c r="I20" s="3">
        <v>534</v>
      </c>
      <c r="J20" s="3">
        <v>6</v>
      </c>
      <c r="K20" s="3">
        <v>453</v>
      </c>
      <c r="L20" s="3" t="s">
        <v>433</v>
      </c>
      <c r="M20" s="3" t="str">
        <f t="shared" si="0"/>
        <v xml:space="preserve">   1/2 un/una taza</v>
      </c>
      <c r="N20" s="3">
        <f t="shared" si="1"/>
        <v>0</v>
      </c>
    </row>
    <row r="21" spans="1:14" hidden="1" x14ac:dyDescent="0.3">
      <c r="A21" s="3" t="s">
        <v>58</v>
      </c>
      <c r="L21" s="3" t="s">
        <v>433</v>
      </c>
      <c r="M21" s="3" t="str">
        <f t="shared" si="0"/>
        <v xml:space="preserve"> Almuerzo</v>
      </c>
      <c r="N21" s="3">
        <f t="shared" si="1"/>
        <v>0</v>
      </c>
    </row>
    <row r="22" spans="1:14" hidden="1" x14ac:dyDescent="0.3">
      <c r="A22" s="3" t="s">
        <v>59</v>
      </c>
      <c r="B22" s="3">
        <v>289</v>
      </c>
      <c r="C22" s="3" t="s">
        <v>60</v>
      </c>
      <c r="D22" s="4">
        <v>1839</v>
      </c>
      <c r="E22" s="3" t="s">
        <v>61</v>
      </c>
      <c r="F22" s="3" t="s">
        <v>51</v>
      </c>
      <c r="G22" s="3" t="s">
        <v>62</v>
      </c>
      <c r="H22" s="3" t="s">
        <v>63</v>
      </c>
      <c r="I22" s="3" t="s">
        <v>64</v>
      </c>
      <c r="J22" s="3">
        <v>58</v>
      </c>
      <c r="K22" s="3">
        <v>550</v>
      </c>
      <c r="L22" s="3" t="s">
        <v>433</v>
      </c>
      <c r="M22" s="3" t="str">
        <f t="shared" si="0"/>
        <v xml:space="preserve">  Yoghurt Natural sin Azúcar</v>
      </c>
      <c r="N22" s="3">
        <f t="shared" si="1"/>
        <v>1</v>
      </c>
    </row>
    <row r="23" spans="1:14" hidden="1" x14ac:dyDescent="0.3">
      <c r="A23" s="3" t="s">
        <v>65</v>
      </c>
      <c r="B23" s="3">
        <v>46</v>
      </c>
      <c r="C23" s="3" t="s">
        <v>66</v>
      </c>
      <c r="D23" s="3" t="s">
        <v>67</v>
      </c>
      <c r="E23" s="3" t="s">
        <v>68</v>
      </c>
      <c r="F23" s="3">
        <v>0</v>
      </c>
      <c r="G23" s="3" t="s">
        <v>68</v>
      </c>
      <c r="H23" s="3" t="s">
        <v>69</v>
      </c>
      <c r="L23" s="3" t="s">
        <v>433</v>
      </c>
      <c r="M23" s="3" t="str">
        <f t="shared" si="0"/>
        <v xml:space="preserve">   1/2 x 1/2 taza, 62.5 g</v>
      </c>
      <c r="N23" s="3">
        <f t="shared" si="1"/>
        <v>0</v>
      </c>
    </row>
    <row r="24" spans="1:14" hidden="1" x14ac:dyDescent="0.3">
      <c r="A24" s="3" t="s">
        <v>70</v>
      </c>
      <c r="L24" s="3" t="s">
        <v>433</v>
      </c>
      <c r="M24" s="3" t="str">
        <f t="shared" si="0"/>
        <v xml:space="preserve">  Pechuga de Pollo a la Plancha</v>
      </c>
      <c r="N24" s="3">
        <f t="shared" si="1"/>
        <v>0</v>
      </c>
    </row>
    <row r="25" spans="1:14" x14ac:dyDescent="0.3">
      <c r="A25" s="3" t="s">
        <v>71</v>
      </c>
      <c r="B25" s="3">
        <v>111</v>
      </c>
      <c r="C25" s="3" t="s">
        <v>72</v>
      </c>
      <c r="D25" s="3" t="s">
        <v>73</v>
      </c>
      <c r="E25" s="3">
        <v>0</v>
      </c>
      <c r="F25" s="3">
        <v>0</v>
      </c>
      <c r="G25" s="3">
        <v>0</v>
      </c>
      <c r="H25" s="3" t="s">
        <v>74</v>
      </c>
      <c r="I25" s="3">
        <v>149</v>
      </c>
      <c r="J25" s="3">
        <v>58</v>
      </c>
      <c r="K25" s="3">
        <v>222</v>
      </c>
      <c r="L25" s="3" t="s">
        <v>433</v>
      </c>
      <c r="M25" s="3" t="str">
        <f t="shared" si="0"/>
        <v xml:space="preserve">   100 g</v>
      </c>
      <c r="N25" s="3">
        <f t="shared" si="1"/>
        <v>0</v>
      </c>
    </row>
    <row r="26" spans="1:14" hidden="1" x14ac:dyDescent="0.3">
      <c r="A26" s="3" t="s">
        <v>75</v>
      </c>
      <c r="L26" s="3" t="s">
        <v>433</v>
      </c>
      <c r="M26" s="3" t="str">
        <f t="shared" si="0"/>
        <v xml:space="preserve">  Crutones Sabor Italiano</v>
      </c>
      <c r="N26" s="3">
        <f t="shared" si="1"/>
        <v>0</v>
      </c>
    </row>
    <row r="27" spans="1:14" x14ac:dyDescent="0.3">
      <c r="A27" s="3" t="s">
        <v>76</v>
      </c>
      <c r="B27" s="3">
        <v>31</v>
      </c>
      <c r="C27" s="3" t="s">
        <v>77</v>
      </c>
      <c r="D27" s="3" t="s">
        <v>78</v>
      </c>
      <c r="E27" s="3" t="s">
        <v>79</v>
      </c>
      <c r="F27" s="3">
        <v>0</v>
      </c>
      <c r="G27" s="3" t="s">
        <v>80</v>
      </c>
      <c r="H27" s="3" t="s">
        <v>81</v>
      </c>
      <c r="I27" s="3">
        <v>80</v>
      </c>
      <c r="J27" s="3">
        <v>0</v>
      </c>
      <c r="K27" s="3">
        <v>0</v>
      </c>
      <c r="L27" s="3" t="s">
        <v>433</v>
      </c>
      <c r="M27" s="3" t="str">
        <f t="shared" si="0"/>
        <v xml:space="preserve">   20 piezas, 7 g</v>
      </c>
      <c r="N27" s="3">
        <f t="shared" si="1"/>
        <v>0</v>
      </c>
    </row>
    <row r="28" spans="1:14" hidden="1" x14ac:dyDescent="0.3">
      <c r="A28" s="3" t="s">
        <v>82</v>
      </c>
      <c r="L28" s="3" t="s">
        <v>433</v>
      </c>
      <c r="M28" s="3" t="str">
        <f t="shared" si="0"/>
        <v xml:space="preserve">  Chipotles Molidos</v>
      </c>
      <c r="N28" s="3">
        <f t="shared" si="1"/>
        <v>0</v>
      </c>
    </row>
    <row r="29" spans="1:14" hidden="1" x14ac:dyDescent="0.3">
      <c r="A29" s="3" t="s">
        <v>83</v>
      </c>
      <c r="B29" s="3">
        <v>17</v>
      </c>
      <c r="C29" s="3" t="s">
        <v>38</v>
      </c>
      <c r="D29" s="3">
        <v>0</v>
      </c>
      <c r="E29" s="3">
        <v>3</v>
      </c>
      <c r="F29" s="3" t="s">
        <v>84</v>
      </c>
      <c r="G29" s="3">
        <v>2</v>
      </c>
      <c r="H29" s="3" t="s">
        <v>38</v>
      </c>
      <c r="I29" s="3">
        <v>400</v>
      </c>
      <c r="L29" s="3" t="s">
        <v>433</v>
      </c>
      <c r="M29" s="3" t="str">
        <f t="shared" si="0"/>
        <v xml:space="preserve">   1 cucharada, 30 g</v>
      </c>
      <c r="N29" s="3">
        <f t="shared" si="1"/>
        <v>0</v>
      </c>
    </row>
    <row r="30" spans="1:14" hidden="1" x14ac:dyDescent="0.3">
      <c r="A30" s="3" t="s">
        <v>85</v>
      </c>
      <c r="L30" s="3" t="s">
        <v>433</v>
      </c>
      <c r="M30" s="3" t="str">
        <f t="shared" si="0"/>
        <v xml:space="preserve">  Ensalada de Lechuga con Verduras Variadas (Incluidos los Tomates y/o Zanahorias)</v>
      </c>
      <c r="N30" s="3">
        <f t="shared" si="1"/>
        <v>0</v>
      </c>
    </row>
    <row r="31" spans="1:14" x14ac:dyDescent="0.3">
      <c r="A31" s="3" t="s">
        <v>86</v>
      </c>
      <c r="B31" s="3">
        <v>25</v>
      </c>
      <c r="C31" s="3" t="s">
        <v>87</v>
      </c>
      <c r="D31" s="3" t="s">
        <v>88</v>
      </c>
      <c r="E31" s="3" t="s">
        <v>60</v>
      </c>
      <c r="F31" s="3">
        <v>2</v>
      </c>
      <c r="G31" s="3" t="s">
        <v>89</v>
      </c>
      <c r="H31" s="3" t="s">
        <v>90</v>
      </c>
      <c r="I31" s="3">
        <v>28</v>
      </c>
      <c r="J31" s="3">
        <v>0</v>
      </c>
      <c r="K31" s="3">
        <v>291</v>
      </c>
      <c r="L31" s="3" t="s">
        <v>433</v>
      </c>
      <c r="M31" s="3" t="str">
        <f t="shared" si="0"/>
        <v xml:space="preserve">   2 tazas</v>
      </c>
      <c r="N31" s="3">
        <f t="shared" si="1"/>
        <v>0</v>
      </c>
    </row>
    <row r="32" spans="1:14" hidden="1" x14ac:dyDescent="0.3">
      <c r="A32" s="3" t="s">
        <v>91</v>
      </c>
      <c r="L32" s="3" t="s">
        <v>433</v>
      </c>
      <c r="M32" s="3" t="str">
        <f t="shared" si="0"/>
        <v xml:space="preserve">  Manzana</v>
      </c>
      <c r="N32" s="3">
        <f t="shared" si="1"/>
        <v>0</v>
      </c>
    </row>
    <row r="33" spans="1:14" x14ac:dyDescent="0.3">
      <c r="A33" s="3" t="s">
        <v>92</v>
      </c>
      <c r="B33" s="3">
        <v>18</v>
      </c>
      <c r="C33" s="3" t="s">
        <v>93</v>
      </c>
      <c r="D33" s="3" t="s">
        <v>94</v>
      </c>
      <c r="E33" s="3" t="s">
        <v>95</v>
      </c>
      <c r="F33" s="3" t="s">
        <v>96</v>
      </c>
      <c r="G33" s="3" t="s">
        <v>97</v>
      </c>
      <c r="H33" s="3" t="s">
        <v>98</v>
      </c>
      <c r="I33" s="3">
        <v>0</v>
      </c>
      <c r="J33" s="3">
        <v>0</v>
      </c>
      <c r="K33" s="3">
        <v>37</v>
      </c>
      <c r="L33" s="3" t="s">
        <v>433</v>
      </c>
      <c r="M33" s="3" t="str">
        <f t="shared" si="0"/>
        <v xml:space="preserve">   1/4 un/una mediana (7 cm de diámetro) (aprox. 3 por 450 g)</v>
      </c>
      <c r="N33" s="3">
        <f t="shared" si="1"/>
        <v>0</v>
      </c>
    </row>
    <row r="34" spans="1:14" hidden="1" x14ac:dyDescent="0.3">
      <c r="A34" s="3" t="s">
        <v>99</v>
      </c>
      <c r="L34" s="3" t="s">
        <v>433</v>
      </c>
      <c r="M34" s="3" t="str">
        <f t="shared" si="0"/>
        <v xml:space="preserve">  Pronto Gelatina</v>
      </c>
      <c r="N34" s="3">
        <f t="shared" si="1"/>
        <v>0</v>
      </c>
    </row>
    <row r="35" spans="1:14" x14ac:dyDescent="0.3">
      <c r="A35" s="3" t="s">
        <v>100</v>
      </c>
      <c r="B35" s="3">
        <v>41</v>
      </c>
      <c r="C35" s="3">
        <v>0</v>
      </c>
      <c r="D35" s="3">
        <v>0</v>
      </c>
      <c r="E35" s="3" t="s">
        <v>101</v>
      </c>
      <c r="F35" s="3">
        <v>0</v>
      </c>
      <c r="G35" s="3" t="s">
        <v>102</v>
      </c>
      <c r="H35" s="3" t="s">
        <v>103</v>
      </c>
      <c r="I35" s="3" t="s">
        <v>104</v>
      </c>
      <c r="J35" s="3">
        <v>0</v>
      </c>
      <c r="K35" s="3">
        <v>0</v>
      </c>
      <c r="L35" s="3" t="s">
        <v>433</v>
      </c>
      <c r="M35" s="3" t="str">
        <f t="shared" si="0"/>
        <v xml:space="preserve">   1 porción, 130 g</v>
      </c>
      <c r="N35" s="3">
        <f t="shared" si="1"/>
        <v>0</v>
      </c>
    </row>
    <row r="36" spans="1:14" hidden="1" x14ac:dyDescent="0.3">
      <c r="A36" s="3" t="s">
        <v>105</v>
      </c>
      <c r="L36" s="3" t="s">
        <v>433</v>
      </c>
      <c r="M36" s="3" t="str">
        <f t="shared" si="0"/>
        <v xml:space="preserve"> Cena</v>
      </c>
      <c r="N36" s="3">
        <f t="shared" si="1"/>
        <v>0</v>
      </c>
    </row>
    <row r="37" spans="1:14" hidden="1" x14ac:dyDescent="0.3">
      <c r="A37" s="3" t="s">
        <v>106</v>
      </c>
      <c r="B37" s="3">
        <v>401</v>
      </c>
      <c r="C37" s="3" t="s">
        <v>107</v>
      </c>
      <c r="D37" s="4">
        <v>1664</v>
      </c>
      <c r="E37" s="3" t="s">
        <v>108</v>
      </c>
      <c r="F37" s="3" t="s">
        <v>109</v>
      </c>
      <c r="G37" s="3" t="s">
        <v>110</v>
      </c>
      <c r="H37" s="3" t="s">
        <v>111</v>
      </c>
      <c r="I37" s="3">
        <v>120</v>
      </c>
      <c r="J37" s="3">
        <v>0</v>
      </c>
      <c r="K37" s="3">
        <v>403</v>
      </c>
      <c r="L37" s="3" t="s">
        <v>433</v>
      </c>
      <c r="M37" s="3" t="str">
        <f t="shared" si="0"/>
        <v xml:space="preserve">  Cinepolis Palomitas (Grande)</v>
      </c>
      <c r="N37" s="3">
        <f t="shared" si="1"/>
        <v>1</v>
      </c>
    </row>
    <row r="38" spans="1:14" hidden="1" x14ac:dyDescent="0.3">
      <c r="A38" s="3" t="s">
        <v>112</v>
      </c>
      <c r="B38" s="3">
        <v>215</v>
      </c>
      <c r="C38" s="3">
        <v>10</v>
      </c>
      <c r="E38" s="3">
        <v>28</v>
      </c>
      <c r="F38" s="3" t="s">
        <v>113</v>
      </c>
      <c r="H38" s="3" t="s">
        <v>114</v>
      </c>
      <c r="L38" s="3" t="s">
        <v>433</v>
      </c>
      <c r="M38" s="3" t="str">
        <f t="shared" si="0"/>
        <v xml:space="preserve">   0.2 x 1 porción, 31 g</v>
      </c>
      <c r="N38" s="3">
        <f t="shared" si="1"/>
        <v>0</v>
      </c>
    </row>
    <row r="39" spans="1:14" hidden="1" x14ac:dyDescent="0.3">
      <c r="A39" s="3" t="s">
        <v>115</v>
      </c>
      <c r="L39" s="3" t="s">
        <v>433</v>
      </c>
      <c r="M39" s="3" t="str">
        <f t="shared" si="0"/>
        <v xml:space="preserve">  Fresas</v>
      </c>
      <c r="N39" s="3">
        <f t="shared" si="1"/>
        <v>0</v>
      </c>
    </row>
    <row r="40" spans="1:14" x14ac:dyDescent="0.3">
      <c r="A40" s="3" t="s">
        <v>116</v>
      </c>
      <c r="B40" s="3">
        <v>9</v>
      </c>
      <c r="C40" s="3" t="s">
        <v>117</v>
      </c>
      <c r="D40" s="3" t="s">
        <v>118</v>
      </c>
      <c r="E40" s="3" t="s">
        <v>119</v>
      </c>
      <c r="F40" s="3" t="s">
        <v>84</v>
      </c>
      <c r="G40" s="3" t="s">
        <v>120</v>
      </c>
      <c r="H40" s="3" t="s">
        <v>121</v>
      </c>
      <c r="I40" s="3">
        <v>0</v>
      </c>
      <c r="J40" s="3">
        <v>0</v>
      </c>
      <c r="K40" s="3">
        <v>43</v>
      </c>
      <c r="L40" s="3" t="s">
        <v>433</v>
      </c>
      <c r="M40" s="3" t="str">
        <f t="shared" si="0"/>
        <v xml:space="preserve">   4 pequeñas (2,5 cm de diámetro)</v>
      </c>
      <c r="N40" s="3">
        <f t="shared" si="1"/>
        <v>0</v>
      </c>
    </row>
    <row r="41" spans="1:14" hidden="1" x14ac:dyDescent="0.3">
      <c r="A41" s="3" t="s">
        <v>122</v>
      </c>
      <c r="L41" s="3" t="s">
        <v>433</v>
      </c>
      <c r="M41" s="3" t="str">
        <f t="shared" si="0"/>
        <v xml:space="preserve">  Yoplait Yoghurt Estilo Griego</v>
      </c>
      <c r="N41" s="3">
        <f t="shared" si="1"/>
        <v>0</v>
      </c>
    </row>
    <row r="42" spans="1:14" hidden="1" x14ac:dyDescent="0.3">
      <c r="A42" s="3" t="s">
        <v>123</v>
      </c>
      <c r="B42" s="3">
        <v>122</v>
      </c>
      <c r="C42" s="3" t="s">
        <v>124</v>
      </c>
      <c r="D42" s="3" t="s">
        <v>125</v>
      </c>
      <c r="E42" s="3" t="s">
        <v>126</v>
      </c>
      <c r="F42" s="3">
        <v>0</v>
      </c>
      <c r="G42" s="3" t="s">
        <v>127</v>
      </c>
      <c r="H42" s="3" t="s">
        <v>128</v>
      </c>
      <c r="I42" s="3">
        <v>116</v>
      </c>
      <c r="L42" s="3" t="s">
        <v>433</v>
      </c>
      <c r="M42" s="3" t="str">
        <f t="shared" si="0"/>
        <v xml:space="preserve">   1 vasito, 145 g</v>
      </c>
      <c r="N42" s="3">
        <f t="shared" si="1"/>
        <v>0</v>
      </c>
    </row>
    <row r="43" spans="1:14" hidden="1" x14ac:dyDescent="0.3">
      <c r="A43" s="3" t="s">
        <v>129</v>
      </c>
      <c r="L43" s="3" t="s">
        <v>433</v>
      </c>
      <c r="M43" s="3" t="str">
        <f t="shared" si="0"/>
        <v xml:space="preserve">  Papayas</v>
      </c>
      <c r="N43" s="3">
        <f t="shared" si="1"/>
        <v>0</v>
      </c>
    </row>
    <row r="44" spans="1:14" x14ac:dyDescent="0.3">
      <c r="A44" s="3" t="s">
        <v>130</v>
      </c>
      <c r="B44" s="3">
        <v>55</v>
      </c>
      <c r="C44" s="3" t="s">
        <v>131</v>
      </c>
      <c r="D44" s="3" t="s">
        <v>93</v>
      </c>
      <c r="E44" s="3" t="s">
        <v>132</v>
      </c>
      <c r="F44" s="3" t="s">
        <v>133</v>
      </c>
      <c r="G44" s="3" t="s">
        <v>134</v>
      </c>
      <c r="H44" s="3" t="s">
        <v>135</v>
      </c>
      <c r="I44" s="3">
        <v>4</v>
      </c>
      <c r="J44" s="3">
        <v>0</v>
      </c>
      <c r="K44" s="3">
        <v>360</v>
      </c>
      <c r="L44" s="3" t="s">
        <v>433</v>
      </c>
      <c r="M44" s="3" t="str">
        <f t="shared" si="0"/>
        <v xml:space="preserve">   1 taza, cubitos</v>
      </c>
      <c r="N44" s="3">
        <f t="shared" si="1"/>
        <v>0</v>
      </c>
    </row>
    <row r="45" spans="1:14" hidden="1" x14ac:dyDescent="0.3">
      <c r="A45" s="3" t="s">
        <v>136</v>
      </c>
      <c r="L45" s="3" t="s">
        <v>433</v>
      </c>
      <c r="M45" s="3" t="str">
        <f t="shared" si="0"/>
        <v xml:space="preserve"> Pasa Bocas / Otros</v>
      </c>
      <c r="N45" s="3">
        <f t="shared" si="1"/>
        <v>0</v>
      </c>
    </row>
    <row r="46" spans="1:14" hidden="1" x14ac:dyDescent="0.3">
      <c r="A46" s="3" t="s">
        <v>137</v>
      </c>
      <c r="L46" s="3" t="s">
        <v>433</v>
      </c>
      <c r="M46" s="3">
        <f t="shared" si="0"/>
        <v>0</v>
      </c>
      <c r="N46" s="3">
        <f t="shared" si="1"/>
        <v>1</v>
      </c>
    </row>
  </sheetData>
  <autoFilter ref="A5:N46" xr:uid="{5DB392EE-3D73-4CC1-B2C4-8FD9C8F2354C}">
    <filterColumn colId="9">
      <customFilters>
        <customFilter operator="notEqual" val=" "/>
      </customFilters>
    </filterColumn>
    <filterColumn colId="13">
      <filters>
        <filter val="0"/>
      </filters>
    </filterColumn>
  </autoFilter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Hoja1</vt:lpstr>
      <vt:lpstr>FoodDiary_260427_foods</vt:lpstr>
      <vt:lpstr>fatsecret 260502</vt:lpstr>
      <vt:lpstr>fatsecret 260501</vt:lpstr>
      <vt:lpstr>fatsecret 260430</vt:lpstr>
      <vt:lpstr>fatsecret 260429</vt:lpstr>
      <vt:lpstr>fatsecret 260428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MARIA FERNANDA CORRAL ALBA</cp:lastModifiedBy>
  <dcterms:created xsi:type="dcterms:W3CDTF">2026-04-02T01:05:58Z</dcterms:created>
  <dcterms:modified xsi:type="dcterms:W3CDTF">2026-05-03T19:49:44Z</dcterms:modified>
</cp:coreProperties>
</file>